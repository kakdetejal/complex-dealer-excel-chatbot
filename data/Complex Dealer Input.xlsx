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jeevansbalagam/DevKinsta/public/Forge Hackathon/"/>
    </mc:Choice>
  </mc:AlternateContent>
  <xr:revisionPtr revIDLastSave="0" documentId="13_ncr:1_{CC3C14CC-D6BB-EE48-A6ED-7A6B779FB4A6}" xr6:coauthVersionLast="47" xr6:coauthVersionMax="47" xr10:uidLastSave="{00000000-0000-0000-0000-000000000000}"/>
  <bookViews>
    <workbookView xWindow="0" yWindow="660" windowWidth="34560" windowHeight="20660" activeTab="1" xr2:uid="{00000000-000D-0000-FFFF-FFFF00000000}"/>
  </bookViews>
  <sheets>
    <sheet name="P&amp;L Summary" sheetId="1" r:id="rId1"/>
    <sheet name="New Vehicle" sheetId="2" r:id="rId2"/>
    <sheet name="Used Vehicle" sheetId="3" r:id="rId3"/>
    <sheet name="F&amp;I Detail" sheetId="4" r:id="rId4"/>
    <sheet name="Service &amp; Parts" sheetId="5" r:id="rId5"/>
    <sheet name="Assumptions" sheetId="6" r:id="rId6"/>
  </sheets>
  <definedNames>
    <definedName name="AbsorptionBonusRate">Assumptions!$B$16</definedName>
    <definedName name="AbsorptionRate">'Service &amp; Parts'!$B$227</definedName>
    <definedName name="AgedInventoryMultiplier">Assumptions!$B$30</definedName>
    <definedName name="AvgDaysOnLot_UV">Assumptions!$B$29</definedName>
    <definedName name="CommissionTable">Assumptions!$A$35:$E$38</definedName>
    <definedName name="Deal_Count_Range">'F&amp;I Detail'!$B$4:$B$153</definedName>
    <definedName name="EffectiveFloorPlanRate">Assumptions!$B$28</definedName>
    <definedName name="FI_Cost_Range">'F&amp;I Detail'!$F$4:$F$153</definedName>
    <definedName name="FI_Month_Range">'F&amp;I Detail'!$D$4:$D$153</definedName>
    <definedName name="FI_Net_Range">'F&amp;I Detail'!$J$4:$J$153</definedName>
    <definedName name="FI_PVR_Target">Assumptions!$B$8</definedName>
    <definedName name="FI_Revenue_Range">'F&amp;I Detail'!$G$4:$G$153</definedName>
    <definedName name="FloorPlanRate">Assumptions!$B$4</definedName>
    <definedName name="FloorPlanSpread">Assumptions!$B$27</definedName>
    <definedName name="HoldbackRate">Assumptions!$B$11</definedName>
    <definedName name="IncentiveRate_Ford">Assumptions!$B$7</definedName>
    <definedName name="IncentiveRate_Honda">Assumptions!$B$6</definedName>
    <definedName name="IncentiveRate_Toyota">Assumptions!$B$5</definedName>
    <definedName name="NV_Bonus">'New Vehicle'!$P$4:$P$53</definedName>
    <definedName name="NV_Commission">'New Vehicle'!$O$4:$O$53</definedName>
    <definedName name="NV_FI">'New Vehicle'!$K$4:$K$53</definedName>
    <definedName name="NV_FrontGross">'New Vehicle'!$J$4:$J$53</definedName>
    <definedName name="NV_HPI">'New Vehicle'!$Q$4:$Q$53</definedName>
    <definedName name="NV_Month">'New Vehicle'!$D$4:$D$53</definedName>
    <definedName name="NV_Stock">'New Vehicle'!$A$4:$A$53</definedName>
    <definedName name="NV_Tier">'New Vehicle'!$N$4:$N$53</definedName>
    <definedName name="NV_TotalComp">'New Vehicle'!$R$4:$R$53</definedName>
    <definedName name="PartsGross">'Service &amp; Parts'!$B$225</definedName>
    <definedName name="PrimeRate">Assumptions!$B$26</definedName>
    <definedName name="PVR_Target">Assumptions!$B$8</definedName>
    <definedName name="ReconCostCap">Assumptions!$B$12</definedName>
    <definedName name="RiskAdjustedFloorPlanRate">Assumptions!$B$31</definedName>
    <definedName name="ServiceAbsorptionTarget">Assumptions!$B$9</definedName>
    <definedName name="SV_LaborCost">'Service &amp; Parts'!$F$4:$F$203</definedName>
    <definedName name="SV_LaborRev">'Service &amp; Parts'!$E$4:$E$203</definedName>
    <definedName name="SV_Month">'Service &amp; Parts'!$C$4:$C$203</definedName>
    <definedName name="SV_PartsCost">'Service &amp; Parts'!$H$4:$H$203</definedName>
    <definedName name="SV_PartsRev">'Service &amp; Parts'!$G$4:$G$203</definedName>
    <definedName name="SV_TotGross">'Service &amp; Parts'!$J$4:$J$203</definedName>
    <definedName name="SV_TotRev">'Service &amp; Parts'!$I$4:$I$203</definedName>
    <definedName name="SV_Type">'Service &amp; Parts'!$D$4:$D$203</definedName>
    <definedName name="SvcGross">'Service &amp; Parts'!$B$224</definedName>
    <definedName name="TaxRate">Assumptions!$B$10</definedName>
    <definedName name="TierMinPVR_Gold">Assumptions!$B$37</definedName>
    <definedName name="TierMinPVR_Platinum">Assumptions!$B$38</definedName>
    <definedName name="TierMinPVR_Silver">Assumptions!$B$36</definedName>
    <definedName name="UV_AdjGross">'Used Vehicle'!$L$4:$L$53</definedName>
    <definedName name="UV_FI">'Used Vehicle'!$K$4:$K$53</definedName>
    <definedName name="UV_Month">'Used Vehicle'!$D$4:$D$53</definedName>
    <definedName name="UV_SalePrice">'Used Vehicle'!$G$4:$G$53</definedName>
    <definedName name="UV_Stock">'Used Vehicle'!$A$4:$A$53</definedName>
    <definedName name="UV_TotGross">'Used Vehicle'!$M$4:$M$53</definedName>
    <definedName name="VarianceThreshold">Assumptions!$B$14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9" i="6" l="1"/>
  <c r="B29" i="6"/>
  <c r="B30" i="6" s="1"/>
  <c r="C43" i="1" s="1"/>
  <c r="D28" i="6"/>
  <c r="B28" i="6"/>
  <c r="B31" i="6" s="1"/>
  <c r="E16" i="6"/>
  <c r="E15" i="6"/>
  <c r="E14" i="6"/>
  <c r="E13" i="6"/>
  <c r="E12" i="6"/>
  <c r="E11" i="6"/>
  <c r="E10" i="6"/>
  <c r="E9" i="6"/>
  <c r="E8" i="6"/>
  <c r="E7" i="6"/>
  <c r="E6" i="6"/>
  <c r="E5" i="6"/>
  <c r="E4" i="6"/>
  <c r="B228" i="5"/>
  <c r="B225" i="5"/>
  <c r="B224" i="5"/>
  <c r="J203" i="5"/>
  <c r="I203" i="5"/>
  <c r="C203" i="5"/>
  <c r="J202" i="5"/>
  <c r="I202" i="5"/>
  <c r="C202" i="5"/>
  <c r="J201" i="5"/>
  <c r="I201" i="5"/>
  <c r="C201" i="5"/>
  <c r="J200" i="5"/>
  <c r="I200" i="5"/>
  <c r="C200" i="5"/>
  <c r="J199" i="5"/>
  <c r="I199" i="5"/>
  <c r="C199" i="5"/>
  <c r="J198" i="5"/>
  <c r="I198" i="5"/>
  <c r="C198" i="5"/>
  <c r="J197" i="5"/>
  <c r="I197" i="5"/>
  <c r="C197" i="5"/>
  <c r="J196" i="5"/>
  <c r="I196" i="5"/>
  <c r="C196" i="5"/>
  <c r="J195" i="5"/>
  <c r="I195" i="5"/>
  <c r="C195" i="5"/>
  <c r="J194" i="5"/>
  <c r="I194" i="5"/>
  <c r="C194" i="5"/>
  <c r="J193" i="5"/>
  <c r="I193" i="5"/>
  <c r="C193" i="5"/>
  <c r="J192" i="5"/>
  <c r="I192" i="5"/>
  <c r="C192" i="5"/>
  <c r="J191" i="5"/>
  <c r="I191" i="5"/>
  <c r="C191" i="5"/>
  <c r="J190" i="5"/>
  <c r="I190" i="5"/>
  <c r="C190" i="5"/>
  <c r="J189" i="5"/>
  <c r="I189" i="5"/>
  <c r="C189" i="5"/>
  <c r="J188" i="5"/>
  <c r="I188" i="5"/>
  <c r="C188" i="5"/>
  <c r="J187" i="5"/>
  <c r="I187" i="5"/>
  <c r="C187" i="5"/>
  <c r="J186" i="5"/>
  <c r="I186" i="5"/>
  <c r="C186" i="5"/>
  <c r="J185" i="5"/>
  <c r="I185" i="5"/>
  <c r="C185" i="5"/>
  <c r="J184" i="5"/>
  <c r="I184" i="5"/>
  <c r="C184" i="5"/>
  <c r="J183" i="5"/>
  <c r="I183" i="5"/>
  <c r="C183" i="5"/>
  <c r="J182" i="5"/>
  <c r="I182" i="5"/>
  <c r="C182" i="5"/>
  <c r="J181" i="5"/>
  <c r="I181" i="5"/>
  <c r="C181" i="5"/>
  <c r="J180" i="5"/>
  <c r="I180" i="5"/>
  <c r="C180" i="5"/>
  <c r="J179" i="5"/>
  <c r="I179" i="5"/>
  <c r="C179" i="5"/>
  <c r="J178" i="5"/>
  <c r="I178" i="5"/>
  <c r="C178" i="5"/>
  <c r="J177" i="5"/>
  <c r="I177" i="5"/>
  <c r="C177" i="5"/>
  <c r="J176" i="5"/>
  <c r="I176" i="5"/>
  <c r="C176" i="5"/>
  <c r="J175" i="5"/>
  <c r="I175" i="5"/>
  <c r="C175" i="5"/>
  <c r="J174" i="5"/>
  <c r="I174" i="5"/>
  <c r="C174" i="5"/>
  <c r="J173" i="5"/>
  <c r="I173" i="5"/>
  <c r="C173" i="5"/>
  <c r="J172" i="5"/>
  <c r="I172" i="5"/>
  <c r="C172" i="5"/>
  <c r="J171" i="5"/>
  <c r="I171" i="5"/>
  <c r="C171" i="5"/>
  <c r="J170" i="5"/>
  <c r="I170" i="5"/>
  <c r="C170" i="5"/>
  <c r="J169" i="5"/>
  <c r="I169" i="5"/>
  <c r="C169" i="5"/>
  <c r="J168" i="5"/>
  <c r="I168" i="5"/>
  <c r="C168" i="5"/>
  <c r="J167" i="5"/>
  <c r="I167" i="5"/>
  <c r="C167" i="5"/>
  <c r="J166" i="5"/>
  <c r="I166" i="5"/>
  <c r="C166" i="5"/>
  <c r="J165" i="5"/>
  <c r="I165" i="5"/>
  <c r="C165" i="5"/>
  <c r="J164" i="5"/>
  <c r="I164" i="5"/>
  <c r="C164" i="5"/>
  <c r="J163" i="5"/>
  <c r="I163" i="5"/>
  <c r="C163" i="5"/>
  <c r="J162" i="5"/>
  <c r="I162" i="5"/>
  <c r="C162" i="5"/>
  <c r="J161" i="5"/>
  <c r="I161" i="5"/>
  <c r="C161" i="5"/>
  <c r="J160" i="5"/>
  <c r="I160" i="5"/>
  <c r="C160" i="5"/>
  <c r="J159" i="5"/>
  <c r="I159" i="5"/>
  <c r="C159" i="5"/>
  <c r="J158" i="5"/>
  <c r="I158" i="5"/>
  <c r="C158" i="5"/>
  <c r="J157" i="5"/>
  <c r="I157" i="5"/>
  <c r="C157" i="5"/>
  <c r="J156" i="5"/>
  <c r="I156" i="5"/>
  <c r="C156" i="5"/>
  <c r="J155" i="5"/>
  <c r="I155" i="5"/>
  <c r="C155" i="5"/>
  <c r="J154" i="5"/>
  <c r="I154" i="5"/>
  <c r="C154" i="5"/>
  <c r="J153" i="5"/>
  <c r="I153" i="5"/>
  <c r="C153" i="5"/>
  <c r="J152" i="5"/>
  <c r="I152" i="5"/>
  <c r="C152" i="5"/>
  <c r="J151" i="5"/>
  <c r="I151" i="5"/>
  <c r="C151" i="5"/>
  <c r="J150" i="5"/>
  <c r="I150" i="5"/>
  <c r="C150" i="5"/>
  <c r="J149" i="5"/>
  <c r="I149" i="5"/>
  <c r="C149" i="5"/>
  <c r="J148" i="5"/>
  <c r="I148" i="5"/>
  <c r="C148" i="5"/>
  <c r="J147" i="5"/>
  <c r="I147" i="5"/>
  <c r="C147" i="5"/>
  <c r="J146" i="5"/>
  <c r="I146" i="5"/>
  <c r="C146" i="5"/>
  <c r="J145" i="5"/>
  <c r="I145" i="5"/>
  <c r="C145" i="5"/>
  <c r="J144" i="5"/>
  <c r="I144" i="5"/>
  <c r="C144" i="5"/>
  <c r="J143" i="5"/>
  <c r="I143" i="5"/>
  <c r="C143" i="5"/>
  <c r="J142" i="5"/>
  <c r="I142" i="5"/>
  <c r="C142" i="5"/>
  <c r="J141" i="5"/>
  <c r="I141" i="5"/>
  <c r="C141" i="5"/>
  <c r="J140" i="5"/>
  <c r="I140" i="5"/>
  <c r="C140" i="5"/>
  <c r="J139" i="5"/>
  <c r="I139" i="5"/>
  <c r="C139" i="5"/>
  <c r="J138" i="5"/>
  <c r="I138" i="5"/>
  <c r="C138" i="5"/>
  <c r="J137" i="5"/>
  <c r="I137" i="5"/>
  <c r="C137" i="5"/>
  <c r="J136" i="5"/>
  <c r="I136" i="5"/>
  <c r="C136" i="5"/>
  <c r="J135" i="5"/>
  <c r="I135" i="5"/>
  <c r="C135" i="5"/>
  <c r="J134" i="5"/>
  <c r="I134" i="5"/>
  <c r="C134" i="5"/>
  <c r="J133" i="5"/>
  <c r="I133" i="5"/>
  <c r="C133" i="5"/>
  <c r="J132" i="5"/>
  <c r="I132" i="5"/>
  <c r="C132" i="5"/>
  <c r="J131" i="5"/>
  <c r="I131" i="5"/>
  <c r="C131" i="5"/>
  <c r="J130" i="5"/>
  <c r="I130" i="5"/>
  <c r="C130" i="5"/>
  <c r="J129" i="5"/>
  <c r="I129" i="5"/>
  <c r="C129" i="5"/>
  <c r="J128" i="5"/>
  <c r="I128" i="5"/>
  <c r="C128" i="5"/>
  <c r="J127" i="5"/>
  <c r="I127" i="5"/>
  <c r="C127" i="5"/>
  <c r="J126" i="5"/>
  <c r="I126" i="5"/>
  <c r="C126" i="5"/>
  <c r="J125" i="5"/>
  <c r="I125" i="5"/>
  <c r="C125" i="5"/>
  <c r="J124" i="5"/>
  <c r="I124" i="5"/>
  <c r="C124" i="5"/>
  <c r="J123" i="5"/>
  <c r="I123" i="5"/>
  <c r="C123" i="5"/>
  <c r="J122" i="5"/>
  <c r="I122" i="5"/>
  <c r="C122" i="5"/>
  <c r="J121" i="5"/>
  <c r="I121" i="5"/>
  <c r="C121" i="5"/>
  <c r="J120" i="5"/>
  <c r="I120" i="5"/>
  <c r="C120" i="5"/>
  <c r="J119" i="5"/>
  <c r="I119" i="5"/>
  <c r="C119" i="5"/>
  <c r="J118" i="5"/>
  <c r="I118" i="5"/>
  <c r="C118" i="5"/>
  <c r="J117" i="5"/>
  <c r="I117" i="5"/>
  <c r="C117" i="5"/>
  <c r="J116" i="5"/>
  <c r="I116" i="5"/>
  <c r="C116" i="5"/>
  <c r="J115" i="5"/>
  <c r="I115" i="5"/>
  <c r="C115" i="5"/>
  <c r="J114" i="5"/>
  <c r="I114" i="5"/>
  <c r="C114" i="5"/>
  <c r="J113" i="5"/>
  <c r="I113" i="5"/>
  <c r="C113" i="5"/>
  <c r="J112" i="5"/>
  <c r="I112" i="5"/>
  <c r="C112" i="5"/>
  <c r="J111" i="5"/>
  <c r="I111" i="5"/>
  <c r="C111" i="5"/>
  <c r="J110" i="5"/>
  <c r="I110" i="5"/>
  <c r="C110" i="5"/>
  <c r="J109" i="5"/>
  <c r="I109" i="5"/>
  <c r="C109" i="5"/>
  <c r="J108" i="5"/>
  <c r="I108" i="5"/>
  <c r="C108" i="5"/>
  <c r="J107" i="5"/>
  <c r="I107" i="5"/>
  <c r="C107" i="5"/>
  <c r="J106" i="5"/>
  <c r="I106" i="5"/>
  <c r="C106" i="5"/>
  <c r="J105" i="5"/>
  <c r="I105" i="5"/>
  <c r="C105" i="5"/>
  <c r="J104" i="5"/>
  <c r="I104" i="5"/>
  <c r="C104" i="5"/>
  <c r="J103" i="5"/>
  <c r="I103" i="5"/>
  <c r="C103" i="5"/>
  <c r="J102" i="5"/>
  <c r="I102" i="5"/>
  <c r="C102" i="5"/>
  <c r="J101" i="5"/>
  <c r="I101" i="5"/>
  <c r="C101" i="5"/>
  <c r="J100" i="5"/>
  <c r="I100" i="5"/>
  <c r="C100" i="5"/>
  <c r="J99" i="5"/>
  <c r="I99" i="5"/>
  <c r="C99" i="5"/>
  <c r="J98" i="5"/>
  <c r="I98" i="5"/>
  <c r="C98" i="5"/>
  <c r="J97" i="5"/>
  <c r="I97" i="5"/>
  <c r="C97" i="5"/>
  <c r="J96" i="5"/>
  <c r="I96" i="5"/>
  <c r="C96" i="5"/>
  <c r="J95" i="5"/>
  <c r="I95" i="5"/>
  <c r="C95" i="5"/>
  <c r="J94" i="5"/>
  <c r="I94" i="5"/>
  <c r="C94" i="5"/>
  <c r="J93" i="5"/>
  <c r="I93" i="5"/>
  <c r="C93" i="5"/>
  <c r="J92" i="5"/>
  <c r="I92" i="5"/>
  <c r="C92" i="5"/>
  <c r="J91" i="5"/>
  <c r="I91" i="5"/>
  <c r="C91" i="5"/>
  <c r="J90" i="5"/>
  <c r="I90" i="5"/>
  <c r="C90" i="5"/>
  <c r="J89" i="5"/>
  <c r="I89" i="5"/>
  <c r="C89" i="5"/>
  <c r="J88" i="5"/>
  <c r="I88" i="5"/>
  <c r="C88" i="5"/>
  <c r="J87" i="5"/>
  <c r="I87" i="5"/>
  <c r="C87" i="5"/>
  <c r="J86" i="5"/>
  <c r="I86" i="5"/>
  <c r="C86" i="5"/>
  <c r="J85" i="5"/>
  <c r="I85" i="5"/>
  <c r="C85" i="5"/>
  <c r="J84" i="5"/>
  <c r="I84" i="5"/>
  <c r="C84" i="5"/>
  <c r="J83" i="5"/>
  <c r="I83" i="5"/>
  <c r="C83" i="5"/>
  <c r="J82" i="5"/>
  <c r="I82" i="5"/>
  <c r="C82" i="5"/>
  <c r="J81" i="5"/>
  <c r="I81" i="5"/>
  <c r="C81" i="5"/>
  <c r="J80" i="5"/>
  <c r="I80" i="5"/>
  <c r="C80" i="5"/>
  <c r="J79" i="5"/>
  <c r="I79" i="5"/>
  <c r="C79" i="5"/>
  <c r="J78" i="5"/>
  <c r="I78" i="5"/>
  <c r="C78" i="5"/>
  <c r="J77" i="5"/>
  <c r="I77" i="5"/>
  <c r="C77" i="5"/>
  <c r="J76" i="5"/>
  <c r="I76" i="5"/>
  <c r="C76" i="5"/>
  <c r="J75" i="5"/>
  <c r="I75" i="5"/>
  <c r="C75" i="5"/>
  <c r="J74" i="5"/>
  <c r="I74" i="5"/>
  <c r="C74" i="5"/>
  <c r="J73" i="5"/>
  <c r="I73" i="5"/>
  <c r="C73" i="5"/>
  <c r="J72" i="5"/>
  <c r="I72" i="5"/>
  <c r="C72" i="5"/>
  <c r="J71" i="5"/>
  <c r="I71" i="5"/>
  <c r="C71" i="5"/>
  <c r="J70" i="5"/>
  <c r="I70" i="5"/>
  <c r="C70" i="5"/>
  <c r="J69" i="5"/>
  <c r="I69" i="5"/>
  <c r="C69" i="5"/>
  <c r="J68" i="5"/>
  <c r="I68" i="5"/>
  <c r="C68" i="5"/>
  <c r="J67" i="5"/>
  <c r="I67" i="5"/>
  <c r="C67" i="5"/>
  <c r="J66" i="5"/>
  <c r="I66" i="5"/>
  <c r="C66" i="5"/>
  <c r="J65" i="5"/>
  <c r="I65" i="5"/>
  <c r="C65" i="5"/>
  <c r="J64" i="5"/>
  <c r="I64" i="5"/>
  <c r="C64" i="5"/>
  <c r="J63" i="5"/>
  <c r="I63" i="5"/>
  <c r="C63" i="5"/>
  <c r="J62" i="5"/>
  <c r="I62" i="5"/>
  <c r="C62" i="5"/>
  <c r="J61" i="5"/>
  <c r="I61" i="5"/>
  <c r="C61" i="5"/>
  <c r="J60" i="5"/>
  <c r="I60" i="5"/>
  <c r="C60" i="5"/>
  <c r="J59" i="5"/>
  <c r="I59" i="5"/>
  <c r="C59" i="5"/>
  <c r="J58" i="5"/>
  <c r="I58" i="5"/>
  <c r="C58" i="5"/>
  <c r="J57" i="5"/>
  <c r="I57" i="5"/>
  <c r="C57" i="5"/>
  <c r="J56" i="5"/>
  <c r="I56" i="5"/>
  <c r="C56" i="5"/>
  <c r="J55" i="5"/>
  <c r="I55" i="5"/>
  <c r="C55" i="5"/>
  <c r="J54" i="5"/>
  <c r="I54" i="5"/>
  <c r="C54" i="5"/>
  <c r="J53" i="5"/>
  <c r="I53" i="5"/>
  <c r="C53" i="5"/>
  <c r="J52" i="5"/>
  <c r="I52" i="5"/>
  <c r="C52" i="5"/>
  <c r="J51" i="5"/>
  <c r="I51" i="5"/>
  <c r="C51" i="5"/>
  <c r="J50" i="5"/>
  <c r="I50" i="5"/>
  <c r="C50" i="5"/>
  <c r="J49" i="5"/>
  <c r="I49" i="5"/>
  <c r="C49" i="5"/>
  <c r="J48" i="5"/>
  <c r="I48" i="5"/>
  <c r="C48" i="5"/>
  <c r="J47" i="5"/>
  <c r="I47" i="5"/>
  <c r="C47" i="5"/>
  <c r="J46" i="5"/>
  <c r="I46" i="5"/>
  <c r="C46" i="5"/>
  <c r="J45" i="5"/>
  <c r="I45" i="5"/>
  <c r="C45" i="5"/>
  <c r="J44" i="5"/>
  <c r="I44" i="5"/>
  <c r="C44" i="5"/>
  <c r="J43" i="5"/>
  <c r="I43" i="5"/>
  <c r="C43" i="5"/>
  <c r="J42" i="5"/>
  <c r="I42" i="5"/>
  <c r="C42" i="5"/>
  <c r="J41" i="5"/>
  <c r="I41" i="5"/>
  <c r="C41" i="5"/>
  <c r="J40" i="5"/>
  <c r="I40" i="5"/>
  <c r="C40" i="5"/>
  <c r="J39" i="5"/>
  <c r="I39" i="5"/>
  <c r="C39" i="5"/>
  <c r="J38" i="5"/>
  <c r="I38" i="5"/>
  <c r="C38" i="5"/>
  <c r="J37" i="5"/>
  <c r="I37" i="5"/>
  <c r="C37" i="5"/>
  <c r="J36" i="5"/>
  <c r="I36" i="5"/>
  <c r="C36" i="5"/>
  <c r="J35" i="5"/>
  <c r="I35" i="5"/>
  <c r="C35" i="5"/>
  <c r="J34" i="5"/>
  <c r="I34" i="5"/>
  <c r="C34" i="5"/>
  <c r="J33" i="5"/>
  <c r="I33" i="5"/>
  <c r="C33" i="5"/>
  <c r="J32" i="5"/>
  <c r="I32" i="5"/>
  <c r="C32" i="5"/>
  <c r="J31" i="5"/>
  <c r="I31" i="5"/>
  <c r="C31" i="5"/>
  <c r="J30" i="5"/>
  <c r="I30" i="5"/>
  <c r="C30" i="5"/>
  <c r="J29" i="5"/>
  <c r="I29" i="5"/>
  <c r="C29" i="5"/>
  <c r="J28" i="5"/>
  <c r="I28" i="5"/>
  <c r="C28" i="5"/>
  <c r="J27" i="5"/>
  <c r="I27" i="5"/>
  <c r="C27" i="5"/>
  <c r="J26" i="5"/>
  <c r="I26" i="5"/>
  <c r="C26" i="5"/>
  <c r="J25" i="5"/>
  <c r="I25" i="5"/>
  <c r="C25" i="5"/>
  <c r="J24" i="5"/>
  <c r="I24" i="5"/>
  <c r="C24" i="5"/>
  <c r="J23" i="5"/>
  <c r="I23" i="5"/>
  <c r="C23" i="5"/>
  <c r="J22" i="5"/>
  <c r="I22" i="5"/>
  <c r="C22" i="5"/>
  <c r="J21" i="5"/>
  <c r="I21" i="5"/>
  <c r="C21" i="5"/>
  <c r="J20" i="5"/>
  <c r="I20" i="5"/>
  <c r="C20" i="5"/>
  <c r="J19" i="5"/>
  <c r="I19" i="5"/>
  <c r="C19" i="5"/>
  <c r="J18" i="5"/>
  <c r="I18" i="5"/>
  <c r="C18" i="5"/>
  <c r="J17" i="5"/>
  <c r="I17" i="5"/>
  <c r="C17" i="5"/>
  <c r="J16" i="5"/>
  <c r="I16" i="5"/>
  <c r="C16" i="5"/>
  <c r="J15" i="5"/>
  <c r="I15" i="5"/>
  <c r="C15" i="5"/>
  <c r="J14" i="5"/>
  <c r="I14" i="5"/>
  <c r="C14" i="5"/>
  <c r="J13" i="5"/>
  <c r="I13" i="5"/>
  <c r="C13" i="5"/>
  <c r="J12" i="5"/>
  <c r="I12" i="5"/>
  <c r="C12" i="5"/>
  <c r="J11" i="5"/>
  <c r="I11" i="5"/>
  <c r="C11" i="5"/>
  <c r="J10" i="5"/>
  <c r="I10" i="5"/>
  <c r="C10" i="5"/>
  <c r="J9" i="5"/>
  <c r="I9" i="5"/>
  <c r="C9" i="5"/>
  <c r="J8" i="5"/>
  <c r="I8" i="5"/>
  <c r="C8" i="5"/>
  <c r="J7" i="5"/>
  <c r="I7" i="5"/>
  <c r="C7" i="5"/>
  <c r="J6" i="5"/>
  <c r="I6" i="5"/>
  <c r="C6" i="5"/>
  <c r="J5" i="5"/>
  <c r="I5" i="5"/>
  <c r="C5" i="5"/>
  <c r="J4" i="5"/>
  <c r="I4" i="5"/>
  <c r="C4" i="5"/>
  <c r="E169" i="4"/>
  <c r="E168" i="4"/>
  <c r="E167" i="4"/>
  <c r="B167" i="4"/>
  <c r="E166" i="4"/>
  <c r="B166" i="4"/>
  <c r="E165" i="4"/>
  <c r="B165" i="4"/>
  <c r="E164" i="4"/>
  <c r="B164" i="4"/>
  <c r="E163" i="4"/>
  <c r="B163" i="4"/>
  <c r="E162" i="4"/>
  <c r="B162" i="4"/>
  <c r="E161" i="4"/>
  <c r="B161" i="4"/>
  <c r="E160" i="4"/>
  <c r="B160" i="4"/>
  <c r="E159" i="4"/>
  <c r="B159" i="4"/>
  <c r="E158" i="4"/>
  <c r="B158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J127" i="4"/>
  <c r="J126" i="4"/>
  <c r="J125" i="4"/>
  <c r="J124" i="4"/>
  <c r="J123" i="4"/>
  <c r="J122" i="4"/>
  <c r="J121" i="4"/>
  <c r="J120" i="4"/>
  <c r="J119" i="4"/>
  <c r="J118" i="4"/>
  <c r="J117" i="4"/>
  <c r="J116" i="4"/>
  <c r="J115" i="4"/>
  <c r="J114" i="4"/>
  <c r="J113" i="4"/>
  <c r="J112" i="4"/>
  <c r="J111" i="4"/>
  <c r="J110" i="4"/>
  <c r="J109" i="4"/>
  <c r="J108" i="4"/>
  <c r="J107" i="4"/>
  <c r="J106" i="4"/>
  <c r="J105" i="4"/>
  <c r="J104" i="4"/>
  <c r="J103" i="4"/>
  <c r="J102" i="4"/>
  <c r="J101" i="4"/>
  <c r="J100" i="4"/>
  <c r="J99" i="4"/>
  <c r="J98" i="4"/>
  <c r="J97" i="4"/>
  <c r="J96" i="4"/>
  <c r="J95" i="4"/>
  <c r="J94" i="4"/>
  <c r="J93" i="4"/>
  <c r="J92" i="4"/>
  <c r="J91" i="4"/>
  <c r="J90" i="4"/>
  <c r="J89" i="4"/>
  <c r="J88" i="4"/>
  <c r="J87" i="4"/>
  <c r="J86" i="4"/>
  <c r="J85" i="4"/>
  <c r="J84" i="4"/>
  <c r="J83" i="4"/>
  <c r="J82" i="4"/>
  <c r="J81" i="4"/>
  <c r="J80" i="4"/>
  <c r="J79" i="4"/>
  <c r="J78" i="4"/>
  <c r="J77" i="4"/>
  <c r="J76" i="4"/>
  <c r="J75" i="4"/>
  <c r="J74" i="4"/>
  <c r="J73" i="4"/>
  <c r="J72" i="4"/>
  <c r="J71" i="4"/>
  <c r="J70" i="4"/>
  <c r="J69" i="4"/>
  <c r="J68" i="4"/>
  <c r="J67" i="4"/>
  <c r="J66" i="4"/>
  <c r="J65" i="4"/>
  <c r="J64" i="4"/>
  <c r="J63" i="4"/>
  <c r="J62" i="4"/>
  <c r="J61" i="4"/>
  <c r="J60" i="4"/>
  <c r="J59" i="4"/>
  <c r="J58" i="4"/>
  <c r="J57" i="4"/>
  <c r="J56" i="4"/>
  <c r="J55" i="4"/>
  <c r="J54" i="4"/>
  <c r="J53" i="4"/>
  <c r="J52" i="4"/>
  <c r="J51" i="4"/>
  <c r="J50" i="4"/>
  <c r="J49" i="4"/>
  <c r="J48" i="4"/>
  <c r="J47" i="4"/>
  <c r="J46" i="4"/>
  <c r="J45" i="4"/>
  <c r="J44" i="4"/>
  <c r="J43" i="4"/>
  <c r="J42" i="4"/>
  <c r="J41" i="4"/>
  <c r="J40" i="4"/>
  <c r="J39" i="4"/>
  <c r="J38" i="4"/>
  <c r="J37" i="4"/>
  <c r="J36" i="4"/>
  <c r="J35" i="4"/>
  <c r="J34" i="4"/>
  <c r="J33" i="4"/>
  <c r="J32" i="4"/>
  <c r="J31" i="4"/>
  <c r="J30" i="4"/>
  <c r="J29" i="4"/>
  <c r="J28" i="4"/>
  <c r="J27" i="4"/>
  <c r="J26" i="4"/>
  <c r="J25" i="4"/>
  <c r="J24" i="4"/>
  <c r="J23" i="4"/>
  <c r="J22" i="4"/>
  <c r="J21" i="4"/>
  <c r="J20" i="4"/>
  <c r="J19" i="4"/>
  <c r="J18" i="4"/>
  <c r="J17" i="4"/>
  <c r="J16" i="4"/>
  <c r="J15" i="4"/>
  <c r="J14" i="4"/>
  <c r="J13" i="4"/>
  <c r="J12" i="4"/>
  <c r="J11" i="4"/>
  <c r="J10" i="4"/>
  <c r="J9" i="4"/>
  <c r="J8" i="4"/>
  <c r="J7" i="4"/>
  <c r="J6" i="4"/>
  <c r="J5" i="4"/>
  <c r="J4" i="4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E69" i="2"/>
  <c r="M53" i="2"/>
  <c r="N53" i="2" s="1"/>
  <c r="Q53" i="2" s="1"/>
  <c r="I53" i="2"/>
  <c r="H53" i="2"/>
  <c r="J53" i="2" s="1"/>
  <c r="D53" i="2"/>
  <c r="M52" i="2"/>
  <c r="N52" i="2" s="1"/>
  <c r="Q52" i="2" s="1"/>
  <c r="I52" i="2"/>
  <c r="H52" i="2"/>
  <c r="J52" i="2" s="1"/>
  <c r="D52" i="2"/>
  <c r="M51" i="2"/>
  <c r="N51" i="2" s="1"/>
  <c r="I51" i="2"/>
  <c r="H51" i="2"/>
  <c r="J51" i="2" s="1"/>
  <c r="D51" i="2"/>
  <c r="M50" i="2"/>
  <c r="N50" i="2" s="1"/>
  <c r="Q50" i="2" s="1"/>
  <c r="I50" i="2"/>
  <c r="H50" i="2"/>
  <c r="J50" i="2" s="1"/>
  <c r="D50" i="2"/>
  <c r="M49" i="2"/>
  <c r="N49" i="2" s="1"/>
  <c r="Q49" i="2" s="1"/>
  <c r="I49" i="2"/>
  <c r="H49" i="2"/>
  <c r="J49" i="2" s="1"/>
  <c r="D49" i="2"/>
  <c r="M48" i="2"/>
  <c r="N48" i="2" s="1"/>
  <c r="Q48" i="2" s="1"/>
  <c r="I48" i="2"/>
  <c r="H48" i="2"/>
  <c r="J48" i="2" s="1"/>
  <c r="D48" i="2"/>
  <c r="M47" i="2"/>
  <c r="N47" i="2" s="1"/>
  <c r="Q47" i="2" s="1"/>
  <c r="I47" i="2"/>
  <c r="H47" i="2"/>
  <c r="J47" i="2" s="1"/>
  <c r="D47" i="2"/>
  <c r="M46" i="2"/>
  <c r="N46" i="2" s="1"/>
  <c r="Q46" i="2" s="1"/>
  <c r="I46" i="2"/>
  <c r="H46" i="2"/>
  <c r="J46" i="2" s="1"/>
  <c r="D46" i="2"/>
  <c r="N45" i="2"/>
  <c r="Q45" i="2" s="1"/>
  <c r="M45" i="2"/>
  <c r="I45" i="2"/>
  <c r="H45" i="2"/>
  <c r="J45" i="2" s="1"/>
  <c r="D45" i="2"/>
  <c r="M44" i="2"/>
  <c r="N44" i="2" s="1"/>
  <c r="Q44" i="2" s="1"/>
  <c r="I44" i="2"/>
  <c r="H44" i="2"/>
  <c r="J44" i="2" s="1"/>
  <c r="D44" i="2"/>
  <c r="M43" i="2"/>
  <c r="N43" i="2" s="1"/>
  <c r="Q43" i="2" s="1"/>
  <c r="I43" i="2"/>
  <c r="H43" i="2"/>
  <c r="J43" i="2" s="1"/>
  <c r="D43" i="2"/>
  <c r="M42" i="2"/>
  <c r="N42" i="2" s="1"/>
  <c r="Q42" i="2" s="1"/>
  <c r="I42" i="2"/>
  <c r="H42" i="2"/>
  <c r="J42" i="2" s="1"/>
  <c r="D42" i="2"/>
  <c r="M41" i="2"/>
  <c r="N41" i="2" s="1"/>
  <c r="Q41" i="2" s="1"/>
  <c r="I41" i="2"/>
  <c r="H41" i="2"/>
  <c r="J41" i="2" s="1"/>
  <c r="D41" i="2"/>
  <c r="M40" i="2"/>
  <c r="N40" i="2" s="1"/>
  <c r="I40" i="2"/>
  <c r="H40" i="2"/>
  <c r="J40" i="2" s="1"/>
  <c r="D40" i="2"/>
  <c r="M39" i="2"/>
  <c r="N39" i="2" s="1"/>
  <c r="I39" i="2"/>
  <c r="H39" i="2"/>
  <c r="J39" i="2" s="1"/>
  <c r="D39" i="2"/>
  <c r="M38" i="2"/>
  <c r="N38" i="2" s="1"/>
  <c r="Q38" i="2" s="1"/>
  <c r="I38" i="2"/>
  <c r="H38" i="2"/>
  <c r="J38" i="2" s="1"/>
  <c r="D38" i="2"/>
  <c r="M37" i="2"/>
  <c r="N37" i="2" s="1"/>
  <c r="Q37" i="2" s="1"/>
  <c r="I37" i="2"/>
  <c r="H37" i="2"/>
  <c r="J37" i="2" s="1"/>
  <c r="D37" i="2"/>
  <c r="M36" i="2"/>
  <c r="N36" i="2" s="1"/>
  <c r="Q36" i="2" s="1"/>
  <c r="I36" i="2"/>
  <c r="H36" i="2"/>
  <c r="J36" i="2" s="1"/>
  <c r="D36" i="2"/>
  <c r="M35" i="2"/>
  <c r="N35" i="2" s="1"/>
  <c r="Q35" i="2" s="1"/>
  <c r="I35" i="2"/>
  <c r="H35" i="2"/>
  <c r="J35" i="2" s="1"/>
  <c r="D35" i="2"/>
  <c r="M34" i="2"/>
  <c r="N34" i="2" s="1"/>
  <c r="Q34" i="2" s="1"/>
  <c r="I34" i="2"/>
  <c r="H34" i="2"/>
  <c r="J34" i="2" s="1"/>
  <c r="D34" i="2"/>
  <c r="M33" i="2"/>
  <c r="N33" i="2" s="1"/>
  <c r="Q33" i="2" s="1"/>
  <c r="I33" i="2"/>
  <c r="H33" i="2"/>
  <c r="J33" i="2" s="1"/>
  <c r="D33" i="2"/>
  <c r="M32" i="2"/>
  <c r="N32" i="2" s="1"/>
  <c r="I32" i="2"/>
  <c r="H32" i="2"/>
  <c r="J32" i="2" s="1"/>
  <c r="D32" i="2"/>
  <c r="M31" i="2"/>
  <c r="N31" i="2" s="1"/>
  <c r="Q31" i="2" s="1"/>
  <c r="I31" i="2"/>
  <c r="H31" i="2"/>
  <c r="J31" i="2" s="1"/>
  <c r="D31" i="2"/>
  <c r="M30" i="2"/>
  <c r="N30" i="2" s="1"/>
  <c r="I30" i="2"/>
  <c r="H30" i="2"/>
  <c r="J30" i="2" s="1"/>
  <c r="D30" i="2"/>
  <c r="M29" i="2"/>
  <c r="N29" i="2" s="1"/>
  <c r="Q29" i="2" s="1"/>
  <c r="I29" i="2"/>
  <c r="H29" i="2"/>
  <c r="J29" i="2" s="1"/>
  <c r="D29" i="2"/>
  <c r="M28" i="2"/>
  <c r="N28" i="2" s="1"/>
  <c r="I28" i="2"/>
  <c r="H28" i="2"/>
  <c r="J28" i="2" s="1"/>
  <c r="D28" i="2"/>
  <c r="M27" i="2"/>
  <c r="N27" i="2" s="1"/>
  <c r="I27" i="2"/>
  <c r="H27" i="2"/>
  <c r="J27" i="2" s="1"/>
  <c r="D27" i="2"/>
  <c r="M26" i="2"/>
  <c r="N26" i="2" s="1"/>
  <c r="Q26" i="2" s="1"/>
  <c r="I26" i="2"/>
  <c r="H26" i="2"/>
  <c r="J26" i="2" s="1"/>
  <c r="D26" i="2"/>
  <c r="M25" i="2"/>
  <c r="N25" i="2" s="1"/>
  <c r="I25" i="2"/>
  <c r="H25" i="2"/>
  <c r="J25" i="2" s="1"/>
  <c r="D25" i="2"/>
  <c r="M24" i="2"/>
  <c r="N24" i="2" s="1"/>
  <c r="Q24" i="2" s="1"/>
  <c r="I24" i="2"/>
  <c r="H24" i="2"/>
  <c r="J24" i="2" s="1"/>
  <c r="D24" i="2"/>
  <c r="M23" i="2"/>
  <c r="N23" i="2" s="1"/>
  <c r="Q23" i="2" s="1"/>
  <c r="I23" i="2"/>
  <c r="H23" i="2"/>
  <c r="J23" i="2" s="1"/>
  <c r="D23" i="2"/>
  <c r="M22" i="2"/>
  <c r="N22" i="2" s="1"/>
  <c r="Q22" i="2" s="1"/>
  <c r="I22" i="2"/>
  <c r="H22" i="2"/>
  <c r="J22" i="2" s="1"/>
  <c r="D22" i="2"/>
  <c r="M21" i="2"/>
  <c r="N21" i="2" s="1"/>
  <c r="Q21" i="2" s="1"/>
  <c r="I21" i="2"/>
  <c r="H21" i="2"/>
  <c r="J21" i="2" s="1"/>
  <c r="D21" i="2"/>
  <c r="M20" i="2"/>
  <c r="N20" i="2" s="1"/>
  <c r="Q20" i="2" s="1"/>
  <c r="I20" i="2"/>
  <c r="H20" i="2"/>
  <c r="J20" i="2" s="1"/>
  <c r="D20" i="2"/>
  <c r="M19" i="2"/>
  <c r="N19" i="2" s="1"/>
  <c r="Q19" i="2" s="1"/>
  <c r="I19" i="2"/>
  <c r="H19" i="2"/>
  <c r="J19" i="2" s="1"/>
  <c r="D19" i="2"/>
  <c r="M18" i="2"/>
  <c r="N18" i="2" s="1"/>
  <c r="I18" i="2"/>
  <c r="H18" i="2"/>
  <c r="J18" i="2" s="1"/>
  <c r="D18" i="2"/>
  <c r="M17" i="2"/>
  <c r="N17" i="2" s="1"/>
  <c r="Q17" i="2" s="1"/>
  <c r="I17" i="2"/>
  <c r="H17" i="2"/>
  <c r="J17" i="2" s="1"/>
  <c r="D17" i="2"/>
  <c r="M16" i="2"/>
  <c r="N16" i="2" s="1"/>
  <c r="Q16" i="2" s="1"/>
  <c r="I16" i="2"/>
  <c r="H16" i="2"/>
  <c r="J16" i="2" s="1"/>
  <c r="D16" i="2"/>
  <c r="M15" i="2"/>
  <c r="N15" i="2" s="1"/>
  <c r="Q15" i="2" s="1"/>
  <c r="I15" i="2"/>
  <c r="H15" i="2"/>
  <c r="J15" i="2" s="1"/>
  <c r="D15" i="2"/>
  <c r="M14" i="2"/>
  <c r="N14" i="2" s="1"/>
  <c r="Q14" i="2" s="1"/>
  <c r="I14" i="2"/>
  <c r="H14" i="2"/>
  <c r="J14" i="2" s="1"/>
  <c r="D14" i="2"/>
  <c r="M13" i="2"/>
  <c r="N13" i="2" s="1"/>
  <c r="Q13" i="2" s="1"/>
  <c r="I13" i="2"/>
  <c r="H13" i="2"/>
  <c r="J13" i="2" s="1"/>
  <c r="D13" i="2"/>
  <c r="M12" i="2"/>
  <c r="N12" i="2" s="1"/>
  <c r="Q12" i="2" s="1"/>
  <c r="I12" i="2"/>
  <c r="H12" i="2"/>
  <c r="J12" i="2" s="1"/>
  <c r="D12" i="2"/>
  <c r="M11" i="2"/>
  <c r="N11" i="2" s="1"/>
  <c r="I11" i="2"/>
  <c r="H11" i="2"/>
  <c r="J11" i="2" s="1"/>
  <c r="D11" i="2"/>
  <c r="M10" i="2"/>
  <c r="N10" i="2" s="1"/>
  <c r="Q10" i="2" s="1"/>
  <c r="I10" i="2"/>
  <c r="H10" i="2"/>
  <c r="J10" i="2" s="1"/>
  <c r="D10" i="2"/>
  <c r="M9" i="2"/>
  <c r="N9" i="2" s="1"/>
  <c r="Q9" i="2" s="1"/>
  <c r="I9" i="2"/>
  <c r="H9" i="2"/>
  <c r="J9" i="2" s="1"/>
  <c r="D9" i="2"/>
  <c r="M8" i="2"/>
  <c r="N8" i="2" s="1"/>
  <c r="Q8" i="2" s="1"/>
  <c r="I8" i="2"/>
  <c r="H8" i="2"/>
  <c r="J8" i="2" s="1"/>
  <c r="D8" i="2"/>
  <c r="M7" i="2"/>
  <c r="N7" i="2" s="1"/>
  <c r="I7" i="2"/>
  <c r="H7" i="2"/>
  <c r="J7" i="2" s="1"/>
  <c r="D7" i="2"/>
  <c r="M6" i="2"/>
  <c r="N6" i="2" s="1"/>
  <c r="I6" i="2"/>
  <c r="H6" i="2"/>
  <c r="J6" i="2" s="1"/>
  <c r="D6" i="2"/>
  <c r="M5" i="2"/>
  <c r="N5" i="2" s="1"/>
  <c r="Q5" i="2" s="1"/>
  <c r="I5" i="2"/>
  <c r="H5" i="2"/>
  <c r="J5" i="2" s="1"/>
  <c r="D5" i="2"/>
  <c r="M4" i="2"/>
  <c r="N4" i="2" s="1"/>
  <c r="I4" i="2"/>
  <c r="H4" i="2"/>
  <c r="J4" i="2" s="1"/>
  <c r="D4" i="2"/>
  <c r="D48" i="1"/>
  <c r="D46" i="1"/>
  <c r="D43" i="1"/>
  <c r="D42" i="1"/>
  <c r="C42" i="1"/>
  <c r="D41" i="1"/>
  <c r="C41" i="1"/>
  <c r="C40" i="1"/>
  <c r="K15" i="1"/>
  <c r="J15" i="1"/>
  <c r="I15" i="1"/>
  <c r="H15" i="1"/>
  <c r="G15" i="1"/>
  <c r="F15" i="1"/>
  <c r="E15" i="1"/>
  <c r="D15" i="1"/>
  <c r="C15" i="1"/>
  <c r="B15" i="1"/>
  <c r="O10" i="1"/>
  <c r="K6" i="1"/>
  <c r="J6" i="1"/>
  <c r="I6" i="1"/>
  <c r="H6" i="1"/>
  <c r="G6" i="1"/>
  <c r="F6" i="1"/>
  <c r="E6" i="1"/>
  <c r="D6" i="1"/>
  <c r="C6" i="1"/>
  <c r="B6" i="1"/>
  <c r="C44" i="1" l="1"/>
  <c r="C45" i="1"/>
  <c r="J13" i="3"/>
  <c r="L13" i="3" s="1"/>
  <c r="M13" i="3" s="1"/>
  <c r="N13" i="3" s="1"/>
  <c r="J14" i="3"/>
  <c r="L14" i="3" s="1"/>
  <c r="M14" i="3" s="1"/>
  <c r="N14" i="3" s="1"/>
  <c r="J15" i="3"/>
  <c r="L15" i="3" s="1"/>
  <c r="M15" i="3" s="1"/>
  <c r="N15" i="3" s="1"/>
  <c r="J16" i="3"/>
  <c r="L16" i="3" s="1"/>
  <c r="M16" i="3" s="1"/>
  <c r="N16" i="3" s="1"/>
  <c r="J17" i="3"/>
  <c r="L17" i="3" s="1"/>
  <c r="M17" i="3" s="1"/>
  <c r="N17" i="3" s="1"/>
  <c r="J18" i="3"/>
  <c r="L18" i="3" s="1"/>
  <c r="M18" i="3" s="1"/>
  <c r="N18" i="3" s="1"/>
  <c r="J19" i="3"/>
  <c r="L19" i="3" s="1"/>
  <c r="M19" i="3" s="1"/>
  <c r="N19" i="3" s="1"/>
  <c r="J20" i="3"/>
  <c r="L20" i="3" s="1"/>
  <c r="M20" i="3" s="1"/>
  <c r="N20" i="3" s="1"/>
  <c r="J21" i="3"/>
  <c r="L21" i="3" s="1"/>
  <c r="M21" i="3" s="1"/>
  <c r="N21" i="3" s="1"/>
  <c r="J22" i="3"/>
  <c r="L22" i="3" s="1"/>
  <c r="M22" i="3" s="1"/>
  <c r="N22" i="3" s="1"/>
  <c r="J23" i="3"/>
  <c r="L23" i="3" s="1"/>
  <c r="M23" i="3" s="1"/>
  <c r="N23" i="3" s="1"/>
  <c r="J24" i="3"/>
  <c r="L24" i="3" s="1"/>
  <c r="M24" i="3" s="1"/>
  <c r="N24" i="3" s="1"/>
  <c r="J25" i="3"/>
  <c r="L25" i="3" s="1"/>
  <c r="M25" i="3" s="1"/>
  <c r="N25" i="3" s="1"/>
  <c r="J26" i="3"/>
  <c r="L26" i="3" s="1"/>
  <c r="M26" i="3" s="1"/>
  <c r="N26" i="3" s="1"/>
  <c r="J27" i="3"/>
  <c r="L27" i="3" s="1"/>
  <c r="M27" i="3" s="1"/>
  <c r="N27" i="3" s="1"/>
  <c r="J28" i="3"/>
  <c r="L28" i="3" s="1"/>
  <c r="M28" i="3" s="1"/>
  <c r="N28" i="3" s="1"/>
  <c r="J29" i="3"/>
  <c r="L29" i="3" s="1"/>
  <c r="M29" i="3" s="1"/>
  <c r="N29" i="3" s="1"/>
  <c r="J30" i="3"/>
  <c r="L30" i="3" s="1"/>
  <c r="M30" i="3" s="1"/>
  <c r="N30" i="3" s="1"/>
  <c r="J31" i="3"/>
  <c r="L31" i="3" s="1"/>
  <c r="M31" i="3" s="1"/>
  <c r="N31" i="3" s="1"/>
  <c r="J32" i="3"/>
  <c r="L32" i="3" s="1"/>
  <c r="M32" i="3" s="1"/>
  <c r="N32" i="3" s="1"/>
  <c r="J33" i="3"/>
  <c r="L33" i="3" s="1"/>
  <c r="M33" i="3" s="1"/>
  <c r="N33" i="3" s="1"/>
  <c r="J34" i="3"/>
  <c r="L34" i="3" s="1"/>
  <c r="M34" i="3" s="1"/>
  <c r="N34" i="3" s="1"/>
  <c r="J52" i="3"/>
  <c r="L52" i="3" s="1"/>
  <c r="M52" i="3" s="1"/>
  <c r="N52" i="3" s="1"/>
  <c r="J53" i="3"/>
  <c r="L53" i="3" s="1"/>
  <c r="M53" i="3" s="1"/>
  <c r="N53" i="3" s="1"/>
  <c r="J4" i="3"/>
  <c r="L4" i="3" s="1"/>
  <c r="D60" i="3" s="1"/>
  <c r="J5" i="3"/>
  <c r="L5" i="3" s="1"/>
  <c r="M5" i="3" s="1"/>
  <c r="N5" i="3" s="1"/>
  <c r="J6" i="3"/>
  <c r="L6" i="3" s="1"/>
  <c r="M6" i="3" s="1"/>
  <c r="N6" i="3" s="1"/>
  <c r="J7" i="3"/>
  <c r="L7" i="3" s="1"/>
  <c r="M7" i="3" s="1"/>
  <c r="N7" i="3" s="1"/>
  <c r="J8" i="3"/>
  <c r="L8" i="3" s="1"/>
  <c r="M8" i="3" s="1"/>
  <c r="N8" i="3" s="1"/>
  <c r="J9" i="3"/>
  <c r="L9" i="3" s="1"/>
  <c r="M9" i="3" s="1"/>
  <c r="N9" i="3" s="1"/>
  <c r="J10" i="3"/>
  <c r="L10" i="3" s="1"/>
  <c r="M10" i="3" s="1"/>
  <c r="N10" i="3" s="1"/>
  <c r="J11" i="3"/>
  <c r="L11" i="3" s="1"/>
  <c r="M11" i="3" s="1"/>
  <c r="J12" i="3"/>
  <c r="L12" i="3" s="1"/>
  <c r="M12" i="3" s="1"/>
  <c r="N12" i="3" s="1"/>
  <c r="J35" i="3"/>
  <c r="L35" i="3" s="1"/>
  <c r="M35" i="3" s="1"/>
  <c r="N35" i="3" s="1"/>
  <c r="J36" i="3"/>
  <c r="L36" i="3" s="1"/>
  <c r="M36" i="3" s="1"/>
  <c r="N36" i="3" s="1"/>
  <c r="J37" i="3"/>
  <c r="L37" i="3" s="1"/>
  <c r="M37" i="3" s="1"/>
  <c r="N37" i="3" s="1"/>
  <c r="J38" i="3"/>
  <c r="L38" i="3" s="1"/>
  <c r="M38" i="3" s="1"/>
  <c r="N38" i="3" s="1"/>
  <c r="J39" i="3"/>
  <c r="L39" i="3" s="1"/>
  <c r="M39" i="3" s="1"/>
  <c r="N39" i="3" s="1"/>
  <c r="J40" i="3"/>
  <c r="L40" i="3" s="1"/>
  <c r="M40" i="3" s="1"/>
  <c r="N40" i="3" s="1"/>
  <c r="J41" i="3"/>
  <c r="L41" i="3" s="1"/>
  <c r="M41" i="3" s="1"/>
  <c r="J42" i="3"/>
  <c r="L42" i="3" s="1"/>
  <c r="M42" i="3" s="1"/>
  <c r="N42" i="3" s="1"/>
  <c r="J43" i="3"/>
  <c r="L43" i="3" s="1"/>
  <c r="M43" i="3" s="1"/>
  <c r="N43" i="3" s="1"/>
  <c r="J44" i="3"/>
  <c r="L44" i="3" s="1"/>
  <c r="M44" i="3" s="1"/>
  <c r="N44" i="3" s="1"/>
  <c r="J45" i="3"/>
  <c r="L45" i="3" s="1"/>
  <c r="M45" i="3" s="1"/>
  <c r="N45" i="3" s="1"/>
  <c r="J46" i="3"/>
  <c r="L46" i="3" s="1"/>
  <c r="M46" i="3" s="1"/>
  <c r="N46" i="3" s="1"/>
  <c r="J47" i="3"/>
  <c r="L47" i="3" s="1"/>
  <c r="M47" i="3" s="1"/>
  <c r="N47" i="3" s="1"/>
  <c r="J48" i="3"/>
  <c r="L48" i="3" s="1"/>
  <c r="M48" i="3" s="1"/>
  <c r="N48" i="3" s="1"/>
  <c r="J49" i="3"/>
  <c r="L49" i="3" s="1"/>
  <c r="M49" i="3" s="1"/>
  <c r="N49" i="3" s="1"/>
  <c r="J50" i="3"/>
  <c r="L50" i="3" s="1"/>
  <c r="M50" i="3" s="1"/>
  <c r="N50" i="3" s="1"/>
  <c r="J51" i="3"/>
  <c r="L51" i="3" s="1"/>
  <c r="M51" i="3" s="1"/>
  <c r="N51" i="3" s="1"/>
  <c r="B208" i="5"/>
  <c r="F209" i="5"/>
  <c r="D219" i="5"/>
  <c r="C219" i="5"/>
  <c r="B219" i="5"/>
  <c r="I218" i="5"/>
  <c r="H218" i="5"/>
  <c r="G218" i="5"/>
  <c r="D218" i="5"/>
  <c r="B218" i="5"/>
  <c r="H217" i="5"/>
  <c r="F217" i="5"/>
  <c r="C217" i="5"/>
  <c r="H216" i="5"/>
  <c r="F216" i="5"/>
  <c r="D216" i="5"/>
  <c r="I215" i="5"/>
  <c r="F215" i="5"/>
  <c r="C215" i="5"/>
  <c r="H214" i="5"/>
  <c r="F214" i="5"/>
  <c r="C214" i="5"/>
  <c r="H213" i="5"/>
  <c r="F213" i="5"/>
  <c r="C213" i="5"/>
  <c r="H212" i="5"/>
  <c r="E212" i="5"/>
  <c r="B212" i="5"/>
  <c r="G211" i="5"/>
  <c r="D211" i="5"/>
  <c r="I210" i="5"/>
  <c r="F210" i="5"/>
  <c r="D210" i="5"/>
  <c r="I209" i="5"/>
  <c r="G209" i="5"/>
  <c r="D209" i="5"/>
  <c r="I208" i="5"/>
  <c r="F208" i="5"/>
  <c r="C208" i="5"/>
  <c r="D217" i="5"/>
  <c r="I216" i="5"/>
  <c r="C209" i="5"/>
  <c r="E216" i="5"/>
  <c r="B216" i="5"/>
  <c r="C7" i="1"/>
  <c r="C9" i="1" s="1"/>
  <c r="C17" i="1" s="1"/>
  <c r="E7" i="1"/>
  <c r="E9" i="1" s="1"/>
  <c r="E17" i="1" s="1"/>
  <c r="G7" i="1"/>
  <c r="G9" i="1" s="1"/>
  <c r="G17" i="1" s="1"/>
  <c r="H7" i="1"/>
  <c r="H9" i="1" s="1"/>
  <c r="H17" i="1" s="1"/>
  <c r="J7" i="1"/>
  <c r="J9" i="1" s="1"/>
  <c r="J17" i="1" s="1"/>
  <c r="L7" i="1"/>
  <c r="L9" i="1" s="1"/>
  <c r="L17" i="1" s="1"/>
  <c r="C8" i="1"/>
  <c r="E8" i="1"/>
  <c r="G8" i="1"/>
  <c r="I8" i="1"/>
  <c r="K8" i="1"/>
  <c r="M8" i="1"/>
  <c r="G215" i="5"/>
  <c r="D215" i="5"/>
  <c r="I214" i="5"/>
  <c r="E214" i="5"/>
  <c r="B214" i="5"/>
  <c r="G213" i="5"/>
  <c r="D213" i="5"/>
  <c r="B16" i="1"/>
  <c r="C16" i="1"/>
  <c r="D16" i="1"/>
  <c r="E16" i="1"/>
  <c r="F16" i="1"/>
  <c r="G16" i="1"/>
  <c r="H16" i="1"/>
  <c r="I16" i="1"/>
  <c r="J16" i="1"/>
  <c r="K16" i="1"/>
  <c r="L16" i="1"/>
  <c r="I212" i="5"/>
  <c r="F212" i="5"/>
  <c r="C212" i="5"/>
  <c r="I211" i="5"/>
  <c r="F211" i="5"/>
  <c r="C211" i="5"/>
  <c r="H210" i="5"/>
  <c r="E210" i="5"/>
  <c r="B210" i="5"/>
  <c r="H209" i="5"/>
  <c r="E209" i="5"/>
  <c r="B209" i="5"/>
  <c r="G208" i="5"/>
  <c r="D208" i="5"/>
  <c r="M16" i="1"/>
  <c r="F219" i="5"/>
  <c r="H208" i="5"/>
  <c r="H219" i="5"/>
  <c r="E208" i="5"/>
  <c r="L8" i="1"/>
  <c r="J8" i="1"/>
  <c r="H8" i="1"/>
  <c r="F8" i="1"/>
  <c r="D8" i="1"/>
  <c r="B8" i="1"/>
  <c r="N8" i="1" s="1"/>
  <c r="P8" i="1" s="1"/>
  <c r="M7" i="1"/>
  <c r="M9" i="1" s="1"/>
  <c r="M17" i="1" s="1"/>
  <c r="K7" i="1"/>
  <c r="K9" i="1" s="1"/>
  <c r="K17" i="1" s="1"/>
  <c r="I7" i="1"/>
  <c r="I9" i="1" s="1"/>
  <c r="I17" i="1" s="1"/>
  <c r="F7" i="1"/>
  <c r="F9" i="1" s="1"/>
  <c r="F17" i="1" s="1"/>
  <c r="D7" i="1"/>
  <c r="D9" i="1" s="1"/>
  <c r="D17" i="1" s="1"/>
  <c r="B7" i="1"/>
  <c r="G217" i="5"/>
  <c r="E219" i="5"/>
  <c r="C218" i="5"/>
  <c r="I219" i="5"/>
  <c r="G219" i="5"/>
  <c r="E218" i="5"/>
  <c r="I217" i="5"/>
  <c r="E217" i="5"/>
  <c r="B217" i="5"/>
  <c r="G216" i="5"/>
  <c r="C216" i="5"/>
  <c r="H215" i="5"/>
  <c r="E215" i="5"/>
  <c r="B215" i="5"/>
  <c r="G214" i="5"/>
  <c r="D214" i="5"/>
  <c r="I213" i="5"/>
  <c r="E213" i="5"/>
  <c r="B213" i="5"/>
  <c r="G212" i="5"/>
  <c r="D212" i="5"/>
  <c r="H211" i="5"/>
  <c r="E211" i="5"/>
  <c r="B211" i="5"/>
  <c r="G210" i="5"/>
  <c r="C210" i="5"/>
  <c r="F218" i="5"/>
  <c r="M15" i="1"/>
  <c r="B169" i="4"/>
  <c r="D169" i="4" s="1"/>
  <c r="M6" i="1"/>
  <c r="L6" i="1"/>
  <c r="N6" i="1" s="1"/>
  <c r="P6" i="1" s="1"/>
  <c r="B168" i="4"/>
  <c r="D168" i="4" s="1"/>
  <c r="L15" i="1"/>
  <c r="K5" i="1"/>
  <c r="G59" i="3"/>
  <c r="B60" i="3"/>
  <c r="C60" i="3"/>
  <c r="E60" i="3"/>
  <c r="F60" i="3"/>
  <c r="H60" i="3"/>
  <c r="B61" i="3"/>
  <c r="C61" i="3"/>
  <c r="E61" i="3"/>
  <c r="F61" i="3"/>
  <c r="G61" i="3"/>
  <c r="H61" i="3"/>
  <c r="B62" i="3"/>
  <c r="C62" i="3"/>
  <c r="D62" i="3"/>
  <c r="E62" i="3"/>
  <c r="G62" i="3"/>
  <c r="H62" i="3"/>
  <c r="B63" i="3"/>
  <c r="C63" i="3"/>
  <c r="C5" i="1"/>
  <c r="E5" i="1"/>
  <c r="G5" i="1"/>
  <c r="D63" i="3"/>
  <c r="E63" i="3"/>
  <c r="F63" i="3"/>
  <c r="G63" i="3"/>
  <c r="H63" i="3"/>
  <c r="B64" i="3"/>
  <c r="C64" i="3"/>
  <c r="D64" i="3"/>
  <c r="E64" i="3"/>
  <c r="F64" i="3"/>
  <c r="G64" i="3"/>
  <c r="H64" i="3"/>
  <c r="B65" i="3"/>
  <c r="C65" i="3"/>
  <c r="D65" i="3"/>
  <c r="B14" i="1"/>
  <c r="E14" i="1"/>
  <c r="G14" i="1"/>
  <c r="I14" i="1"/>
  <c r="K14" i="1"/>
  <c r="F68" i="3"/>
  <c r="E68" i="3"/>
  <c r="D68" i="3"/>
  <c r="H68" i="3"/>
  <c r="B69" i="3"/>
  <c r="C68" i="3"/>
  <c r="B68" i="3"/>
  <c r="C69" i="3"/>
  <c r="D69" i="3"/>
  <c r="E69" i="3"/>
  <c r="F69" i="3"/>
  <c r="G69" i="3"/>
  <c r="H69" i="3"/>
  <c r="C158" i="4"/>
  <c r="D158" i="4" s="1"/>
  <c r="E59" i="3"/>
  <c r="G60" i="3"/>
  <c r="M14" i="1"/>
  <c r="C59" i="3"/>
  <c r="B5" i="1"/>
  <c r="D5" i="1"/>
  <c r="F5" i="1"/>
  <c r="H5" i="1"/>
  <c r="J5" i="1"/>
  <c r="E65" i="3"/>
  <c r="F65" i="3"/>
  <c r="G65" i="3"/>
  <c r="H65" i="3"/>
  <c r="G68" i="3"/>
  <c r="C66" i="3"/>
  <c r="D66" i="3"/>
  <c r="E66" i="3"/>
  <c r="L14" i="1"/>
  <c r="J14" i="1"/>
  <c r="H14" i="1"/>
  <c r="F14" i="1"/>
  <c r="D14" i="1"/>
  <c r="C14" i="1"/>
  <c r="D61" i="3"/>
  <c r="C159" i="4"/>
  <c r="D159" i="4" s="1"/>
  <c r="F62" i="3"/>
  <c r="C160" i="4"/>
  <c r="D160" i="4" s="1"/>
  <c r="B67" i="3"/>
  <c r="C161" i="4"/>
  <c r="D161" i="4" s="1"/>
  <c r="C67" i="3"/>
  <c r="I5" i="1"/>
  <c r="D59" i="3"/>
  <c r="B59" i="3"/>
  <c r="L5" i="1"/>
  <c r="M5" i="1"/>
  <c r="G58" i="3"/>
  <c r="F58" i="3"/>
  <c r="C167" i="4"/>
  <c r="D167" i="4" s="1"/>
  <c r="E58" i="3"/>
  <c r="C162" i="4"/>
  <c r="D162" i="4" s="1"/>
  <c r="F59" i="3"/>
  <c r="C166" i="4"/>
  <c r="D166" i="4" s="1"/>
  <c r="D58" i="3"/>
  <c r="C165" i="4"/>
  <c r="D165" i="4" s="1"/>
  <c r="C58" i="3"/>
  <c r="C70" i="3" s="1"/>
  <c r="C164" i="4"/>
  <c r="D164" i="4" s="1"/>
  <c r="B58" i="3"/>
  <c r="C163" i="4"/>
  <c r="D163" i="4" s="1"/>
  <c r="D67" i="3"/>
  <c r="F66" i="3"/>
  <c r="G66" i="3"/>
  <c r="H66" i="3"/>
  <c r="E67" i="3"/>
  <c r="F67" i="3"/>
  <c r="G67" i="3"/>
  <c r="B66" i="3"/>
  <c r="L53" i="2"/>
  <c r="O53" i="2"/>
  <c r="L52" i="2"/>
  <c r="O52" i="2"/>
  <c r="L51" i="2"/>
  <c r="O51" i="2"/>
  <c r="L50" i="2"/>
  <c r="O50" i="2"/>
  <c r="L49" i="2"/>
  <c r="O49" i="2"/>
  <c r="L48" i="2"/>
  <c r="O48" i="2"/>
  <c r="L47" i="2"/>
  <c r="O47" i="2"/>
  <c r="L46" i="2"/>
  <c r="O46" i="2"/>
  <c r="C53" i="1" s="1"/>
  <c r="L45" i="2"/>
  <c r="O45" i="2"/>
  <c r="L44" i="2"/>
  <c r="O44" i="2"/>
  <c r="L43" i="2"/>
  <c r="O43" i="2"/>
  <c r="L42" i="2"/>
  <c r="O42" i="2"/>
  <c r="L41" i="2"/>
  <c r="O41" i="2"/>
  <c r="L40" i="2"/>
  <c r="O40" i="2"/>
  <c r="L39" i="2"/>
  <c r="O39" i="2"/>
  <c r="L38" i="2"/>
  <c r="O38" i="2"/>
  <c r="L37" i="2"/>
  <c r="O37" i="2"/>
  <c r="L36" i="2"/>
  <c r="O36" i="2"/>
  <c r="L35" i="2"/>
  <c r="O35" i="2"/>
  <c r="L34" i="2"/>
  <c r="O34" i="2"/>
  <c r="L33" i="2"/>
  <c r="O33" i="2"/>
  <c r="L32" i="2"/>
  <c r="O32" i="2"/>
  <c r="L31" i="2"/>
  <c r="O31" i="2"/>
  <c r="L30" i="2"/>
  <c r="O30" i="2"/>
  <c r="L29" i="2"/>
  <c r="O29" i="2"/>
  <c r="L28" i="2"/>
  <c r="O28" i="2"/>
  <c r="L27" i="2"/>
  <c r="O27" i="2"/>
  <c r="L26" i="2"/>
  <c r="O26" i="2"/>
  <c r="L25" i="2"/>
  <c r="O25" i="2"/>
  <c r="L24" i="2"/>
  <c r="O24" i="2"/>
  <c r="L23" i="2"/>
  <c r="O23" i="2"/>
  <c r="L22" i="2"/>
  <c r="O22" i="2"/>
  <c r="L21" i="2"/>
  <c r="O21" i="2"/>
  <c r="L20" i="2"/>
  <c r="O20" i="2"/>
  <c r="L19" i="2"/>
  <c r="O19" i="2"/>
  <c r="L18" i="2"/>
  <c r="O18" i="2"/>
  <c r="L17" i="2"/>
  <c r="O17" i="2"/>
  <c r="L16" i="2"/>
  <c r="O16" i="2"/>
  <c r="L15" i="2"/>
  <c r="O15" i="2"/>
  <c r="L14" i="2"/>
  <c r="O14" i="2"/>
  <c r="L13" i="2"/>
  <c r="O13" i="2"/>
  <c r="L12" i="2"/>
  <c r="O12" i="2"/>
  <c r="L11" i="2"/>
  <c r="O11" i="2"/>
  <c r="L10" i="2"/>
  <c r="O10" i="2"/>
  <c r="O9" i="2"/>
  <c r="L9" i="2"/>
  <c r="O8" i="2"/>
  <c r="L8" i="2"/>
  <c r="L7" i="2"/>
  <c r="O7" i="2"/>
  <c r="L6" i="2"/>
  <c r="O6" i="2"/>
  <c r="L5" i="2"/>
  <c r="O5" i="2"/>
  <c r="Q4" i="2"/>
  <c r="C52" i="1"/>
  <c r="L4" i="2"/>
  <c r="O4" i="2"/>
  <c r="E60" i="2"/>
  <c r="F60" i="2" s="1"/>
  <c r="D69" i="2"/>
  <c r="G69" i="2" s="1"/>
  <c r="C169" i="4"/>
  <c r="E4" i="1"/>
  <c r="L13" i="1"/>
  <c r="K13" i="1"/>
  <c r="I13" i="1"/>
  <c r="G13" i="1"/>
  <c r="E13" i="1"/>
  <c r="C13" i="1"/>
  <c r="C168" i="4"/>
  <c r="L4" i="1"/>
  <c r="K4" i="1"/>
  <c r="I4" i="1"/>
  <c r="B58" i="2"/>
  <c r="C58" i="2"/>
  <c r="D58" i="2"/>
  <c r="E58" i="2"/>
  <c r="B59" i="2"/>
  <c r="M13" i="1"/>
  <c r="J13" i="1"/>
  <c r="H13" i="1"/>
  <c r="F13" i="1"/>
  <c r="D13" i="1"/>
  <c r="B13" i="1"/>
  <c r="C59" i="2"/>
  <c r="D59" i="2"/>
  <c r="E59" i="2"/>
  <c r="F59" i="2" s="1"/>
  <c r="B60" i="2"/>
  <c r="C60" i="2"/>
  <c r="D60" i="2"/>
  <c r="G4" i="1"/>
  <c r="B61" i="2"/>
  <c r="C61" i="2"/>
  <c r="D61" i="2"/>
  <c r="E61" i="2"/>
  <c r="F61" i="2" s="1"/>
  <c r="B62" i="2"/>
  <c r="C62" i="2"/>
  <c r="D62" i="2"/>
  <c r="E62" i="2"/>
  <c r="F62" i="2" s="1"/>
  <c r="B63" i="2"/>
  <c r="C63" i="2"/>
  <c r="D63" i="2"/>
  <c r="M4" i="1"/>
  <c r="J4" i="1"/>
  <c r="H4" i="1"/>
  <c r="F4" i="1"/>
  <c r="D4" i="1"/>
  <c r="B4" i="1"/>
  <c r="E63" i="2"/>
  <c r="F63" i="2" s="1"/>
  <c r="B64" i="2"/>
  <c r="C64" i="2"/>
  <c r="D64" i="2"/>
  <c r="E64" i="2"/>
  <c r="F64" i="2" s="1"/>
  <c r="B65" i="2"/>
  <c r="C65" i="2"/>
  <c r="D65" i="2"/>
  <c r="E65" i="2"/>
  <c r="F65" i="2" s="1"/>
  <c r="B66" i="2"/>
  <c r="C66" i="2"/>
  <c r="D66" i="2"/>
  <c r="E66" i="2"/>
  <c r="F66" i="2" s="1"/>
  <c r="B67" i="2"/>
  <c r="C67" i="2"/>
  <c r="D67" i="2"/>
  <c r="E67" i="2"/>
  <c r="F67" i="2" s="1"/>
  <c r="B68" i="2"/>
  <c r="C68" i="2"/>
  <c r="D68" i="2"/>
  <c r="E68" i="2"/>
  <c r="F68" i="2" s="1"/>
  <c r="B69" i="2"/>
  <c r="F69" i="2" s="1"/>
  <c r="C69" i="2"/>
  <c r="C4" i="1"/>
  <c r="O18" i="1"/>
  <c r="O32" i="1"/>
  <c r="O35" i="1" s="1"/>
  <c r="Q25" i="2"/>
  <c r="Q18" i="2"/>
  <c r="Q51" i="2"/>
  <c r="Q40" i="2"/>
  <c r="Q30" i="2"/>
  <c r="Q28" i="2"/>
  <c r="Q39" i="2"/>
  <c r="Q32" i="2"/>
  <c r="Q27" i="2"/>
  <c r="Q11" i="2"/>
  <c r="Q7" i="2"/>
  <c r="Q6" i="2"/>
  <c r="M4" i="3" l="1"/>
  <c r="C46" i="1"/>
  <c r="N7" i="1"/>
  <c r="P7" i="1" s="1"/>
  <c r="B9" i="1"/>
  <c r="B10" i="1" s="1"/>
  <c r="F169" i="4"/>
  <c r="G169" i="4"/>
  <c r="F168" i="4"/>
  <c r="G168" i="4"/>
  <c r="G158" i="4"/>
  <c r="F158" i="4"/>
  <c r="G159" i="4"/>
  <c r="F159" i="4"/>
  <c r="G160" i="4"/>
  <c r="F160" i="4"/>
  <c r="G161" i="4"/>
  <c r="F161" i="4"/>
  <c r="G167" i="4"/>
  <c r="F167" i="4"/>
  <c r="G162" i="4"/>
  <c r="F162" i="4"/>
  <c r="G166" i="4"/>
  <c r="F166" i="4"/>
  <c r="G165" i="4"/>
  <c r="F165" i="4"/>
  <c r="G164" i="4"/>
  <c r="F164" i="4"/>
  <c r="G163" i="4"/>
  <c r="F163" i="4"/>
  <c r="P53" i="2"/>
  <c r="R53" i="2" s="1"/>
  <c r="P52" i="2"/>
  <c r="R52" i="2" s="1"/>
  <c r="P51" i="2"/>
  <c r="R51" i="2" s="1"/>
  <c r="P50" i="2"/>
  <c r="R50" i="2" s="1"/>
  <c r="P49" i="2"/>
  <c r="R49" i="2" s="1"/>
  <c r="P48" i="2"/>
  <c r="R48" i="2" s="1"/>
  <c r="P47" i="2"/>
  <c r="R47" i="2"/>
  <c r="P46" i="2"/>
  <c r="R46" i="2"/>
  <c r="P45" i="2"/>
  <c r="R45" i="2"/>
  <c r="P44" i="2"/>
  <c r="R44" i="2" s="1"/>
  <c r="P43" i="2"/>
  <c r="R43" i="2" s="1"/>
  <c r="P42" i="2"/>
  <c r="R42" i="2" s="1"/>
  <c r="P41" i="2"/>
  <c r="R41" i="2" s="1"/>
  <c r="P40" i="2"/>
  <c r="R40" i="2"/>
  <c r="P39" i="2"/>
  <c r="R39" i="2"/>
  <c r="P38" i="2"/>
  <c r="R38" i="2" s="1"/>
  <c r="P37" i="2"/>
  <c r="R37" i="2" s="1"/>
  <c r="P36" i="2"/>
  <c r="R36" i="2" s="1"/>
  <c r="P35" i="2"/>
  <c r="R35" i="2" s="1"/>
  <c r="P34" i="2"/>
  <c r="R34" i="2" s="1"/>
  <c r="P33" i="2"/>
  <c r="R33" i="2" s="1"/>
  <c r="P32" i="2"/>
  <c r="R32" i="2" s="1"/>
  <c r="P31" i="2"/>
  <c r="R31" i="2" s="1"/>
  <c r="P30" i="2"/>
  <c r="R30" i="2" s="1"/>
  <c r="P29" i="2"/>
  <c r="R29" i="2"/>
  <c r="P28" i="2"/>
  <c r="R28" i="2" s="1"/>
  <c r="P27" i="2"/>
  <c r="R27" i="2" s="1"/>
  <c r="P26" i="2"/>
  <c r="R26" i="2"/>
  <c r="P25" i="2"/>
  <c r="R25" i="2"/>
  <c r="P24" i="2"/>
  <c r="R24" i="2" s="1"/>
  <c r="P23" i="2"/>
  <c r="R23" i="2" s="1"/>
  <c r="P22" i="2"/>
  <c r="R22" i="2" s="1"/>
  <c r="P21" i="2"/>
  <c r="R21" i="2" s="1"/>
  <c r="P20" i="2"/>
  <c r="R20" i="2" s="1"/>
  <c r="P19" i="2"/>
  <c r="R19" i="2"/>
  <c r="P18" i="2"/>
  <c r="R18" i="2" s="1"/>
  <c r="P17" i="2"/>
  <c r="R17" i="2"/>
  <c r="P16" i="2"/>
  <c r="R16" i="2"/>
  <c r="P15" i="2"/>
  <c r="R15" i="2"/>
  <c r="P14" i="2"/>
  <c r="R14" i="2"/>
  <c r="P13" i="2"/>
  <c r="R13" i="2" s="1"/>
  <c r="P12" i="2"/>
  <c r="R12" i="2" s="1"/>
  <c r="P11" i="2"/>
  <c r="R11" i="2"/>
  <c r="P10" i="2"/>
  <c r="R10" i="2" s="1"/>
  <c r="P9" i="2"/>
  <c r="R9" i="2"/>
  <c r="P8" i="2"/>
  <c r="R8" i="2" s="1"/>
  <c r="P7" i="2"/>
  <c r="R7" i="2" s="1"/>
  <c r="P6" i="2"/>
  <c r="R6" i="2" s="1"/>
  <c r="P5" i="2"/>
  <c r="R5" i="2"/>
  <c r="P4" i="2"/>
  <c r="R4" i="2"/>
  <c r="G58" i="2"/>
  <c r="D70" i="2"/>
  <c r="F58" i="2"/>
  <c r="E70" i="2"/>
  <c r="N13" i="1"/>
  <c r="N4" i="1"/>
  <c r="P4" i="1" s="1"/>
  <c r="B220" i="5"/>
  <c r="D220" i="5"/>
  <c r="E70" i="3"/>
  <c r="H220" i="5"/>
  <c r="N5" i="1"/>
  <c r="P5" i="1" s="1"/>
  <c r="N15" i="1"/>
  <c r="B70" i="3"/>
  <c r="G70" i="3"/>
  <c r="E10" i="1"/>
  <c r="L18" i="1"/>
  <c r="K18" i="1"/>
  <c r="I18" i="1"/>
  <c r="G18" i="1"/>
  <c r="E18" i="1"/>
  <c r="C18" i="1"/>
  <c r="L10" i="1"/>
  <c r="K10" i="1"/>
  <c r="I10" i="1"/>
  <c r="I220" i="5"/>
  <c r="C220" i="5"/>
  <c r="N16" i="1"/>
  <c r="G220" i="5"/>
  <c r="N14" i="1"/>
  <c r="B70" i="2"/>
  <c r="M18" i="1"/>
  <c r="J18" i="1"/>
  <c r="H18" i="1"/>
  <c r="F18" i="1"/>
  <c r="D18" i="1"/>
  <c r="G59" i="2"/>
  <c r="G60" i="2"/>
  <c r="G10" i="1"/>
  <c r="G61" i="2"/>
  <c r="G62" i="2"/>
  <c r="G63" i="2"/>
  <c r="M10" i="1"/>
  <c r="J10" i="1"/>
  <c r="H10" i="1"/>
  <c r="F10" i="1"/>
  <c r="D10" i="1"/>
  <c r="G64" i="2"/>
  <c r="G65" i="2"/>
  <c r="G66" i="2"/>
  <c r="G67" i="2"/>
  <c r="G68" i="2"/>
  <c r="C10" i="1"/>
  <c r="F220" i="5"/>
  <c r="E220" i="5"/>
  <c r="N11" i="3"/>
  <c r="H59" i="3"/>
  <c r="N41" i="3"/>
  <c r="H67" i="3"/>
  <c r="H58" i="3" l="1"/>
  <c r="H70" i="3" s="1"/>
  <c r="N4" i="3"/>
  <c r="N9" i="1"/>
  <c r="P9" i="1" s="1"/>
  <c r="B17" i="1"/>
  <c r="N10" i="1"/>
  <c r="P10" i="1" s="1"/>
  <c r="B22" i="1"/>
  <c r="B23" i="1"/>
  <c r="B24" i="1"/>
  <c r="B30" i="1"/>
  <c r="E30" i="1"/>
  <c r="E24" i="1"/>
  <c r="E23" i="1"/>
  <c r="E22" i="1"/>
  <c r="E25" i="1" s="1"/>
  <c r="L19" i="1"/>
  <c r="K19" i="1"/>
  <c r="I19" i="1"/>
  <c r="G19" i="1"/>
  <c r="E19" i="1"/>
  <c r="C19" i="1"/>
  <c r="L30" i="1"/>
  <c r="L24" i="1"/>
  <c r="L23" i="1"/>
  <c r="L22" i="1"/>
  <c r="L25" i="1" s="1"/>
  <c r="K30" i="1"/>
  <c r="K24" i="1"/>
  <c r="K23" i="1"/>
  <c r="K22" i="1"/>
  <c r="K25" i="1" s="1"/>
  <c r="I30" i="1"/>
  <c r="I24" i="1"/>
  <c r="I23" i="1"/>
  <c r="I22" i="1"/>
  <c r="I25" i="1" s="1"/>
  <c r="M27" i="1"/>
  <c r="M19" i="1"/>
  <c r="J27" i="1"/>
  <c r="J19" i="1"/>
  <c r="H19" i="1"/>
  <c r="F19" i="1"/>
  <c r="D19" i="1"/>
  <c r="G30" i="1"/>
  <c r="G24" i="1"/>
  <c r="G23" i="1"/>
  <c r="G22" i="1"/>
  <c r="G25" i="1" s="1"/>
  <c r="M30" i="1"/>
  <c r="M24" i="1"/>
  <c r="M23" i="1"/>
  <c r="M22" i="1"/>
  <c r="M25" i="1" s="1"/>
  <c r="J30" i="1"/>
  <c r="J24" i="1"/>
  <c r="J23" i="1"/>
  <c r="J22" i="1"/>
  <c r="J25" i="1" s="1"/>
  <c r="H30" i="1"/>
  <c r="H24" i="1"/>
  <c r="H23" i="1"/>
  <c r="H22" i="1"/>
  <c r="H25" i="1" s="1"/>
  <c r="H27" i="1" s="1"/>
  <c r="F30" i="1"/>
  <c r="F24" i="1"/>
  <c r="F23" i="1"/>
  <c r="F22" i="1"/>
  <c r="F25" i="1" s="1"/>
  <c r="D30" i="1"/>
  <c r="D24" i="1"/>
  <c r="D23" i="1"/>
  <c r="D22" i="1"/>
  <c r="D25" i="1" s="1"/>
  <c r="C30" i="1"/>
  <c r="C24" i="1"/>
  <c r="C23" i="1"/>
  <c r="C22" i="1"/>
  <c r="C25" i="1" s="1"/>
  <c r="G70" i="2"/>
  <c r="C70" i="2"/>
  <c r="F70" i="2"/>
  <c r="B18" i="1" l="1"/>
  <c r="N17" i="1"/>
  <c r="N22" i="1"/>
  <c r="B25" i="1"/>
  <c r="N25" i="1" s="1"/>
  <c r="B226" i="5" s="1"/>
  <c r="B227" i="5" s="1"/>
  <c r="N23" i="1"/>
  <c r="N30" i="1"/>
  <c r="N24" i="1"/>
  <c r="E27" i="1"/>
  <c r="L27" i="1"/>
  <c r="K27" i="1"/>
  <c r="I27" i="1"/>
  <c r="G27" i="1"/>
  <c r="F27" i="1"/>
  <c r="D27" i="1"/>
  <c r="C27" i="1"/>
  <c r="B32" i="1" l="1"/>
  <c r="B27" i="1"/>
  <c r="N27" i="1" s="1"/>
  <c r="B19" i="1"/>
  <c r="N18" i="1"/>
  <c r="M31" i="1"/>
  <c r="M32" i="1" s="1"/>
  <c r="L31" i="1"/>
  <c r="L32" i="1" s="1"/>
  <c r="K31" i="1"/>
  <c r="K32" i="1" s="1"/>
  <c r="J31" i="1"/>
  <c r="J32" i="1" s="1"/>
  <c r="I31" i="1"/>
  <c r="I32" i="1" s="1"/>
  <c r="H31" i="1"/>
  <c r="H32" i="1" s="1"/>
  <c r="G31" i="1"/>
  <c r="G32" i="1" s="1"/>
  <c r="F31" i="1"/>
  <c r="F32" i="1" s="1"/>
  <c r="E31" i="1"/>
  <c r="E32" i="1" s="1"/>
  <c r="D31" i="1"/>
  <c r="D32" i="1" s="1"/>
  <c r="C31" i="1"/>
  <c r="C32" i="1" s="1"/>
  <c r="B31" i="1"/>
  <c r="N31" i="1" s="1"/>
  <c r="B229" i="5"/>
  <c r="E34" i="1"/>
  <c r="E35" i="1" s="1"/>
  <c r="E33" i="1"/>
  <c r="L34" i="1"/>
  <c r="L35" i="1" s="1"/>
  <c r="L33" i="1"/>
  <c r="K34" i="1"/>
  <c r="K35" i="1" s="1"/>
  <c r="K33" i="1"/>
  <c r="I34" i="1"/>
  <c r="I35" i="1" s="1"/>
  <c r="I33" i="1"/>
  <c r="G34" i="1"/>
  <c r="G35" i="1" s="1"/>
  <c r="G33" i="1"/>
  <c r="F35" i="1"/>
  <c r="F34" i="1"/>
  <c r="F33" i="1"/>
  <c r="D34" i="1"/>
  <c r="D35" i="1" s="1"/>
  <c r="D33" i="1"/>
  <c r="C34" i="1"/>
  <c r="C35" i="1" s="1"/>
  <c r="C33" i="1"/>
  <c r="N32" i="1" l="1"/>
  <c r="B33" i="1"/>
  <c r="B34" i="1"/>
  <c r="N34" i="1" s="1"/>
  <c r="B35" i="1"/>
  <c r="P18" i="1"/>
  <c r="N19" i="1"/>
  <c r="C47" i="1"/>
  <c r="M34" i="1"/>
  <c r="M35" i="1" s="1"/>
  <c r="M33" i="1"/>
  <c r="J34" i="1"/>
  <c r="J35" i="1" s="1"/>
  <c r="J33" i="1"/>
  <c r="H34" i="1"/>
  <c r="H35" i="1" s="1"/>
  <c r="H33" i="1"/>
  <c r="C54" i="1" l="1"/>
  <c r="P32" i="1"/>
  <c r="N33" i="1"/>
  <c r="C48" i="1"/>
  <c r="N35" i="1"/>
  <c r="P35" i="1" s="1"/>
</calcChain>
</file>

<file path=xl/sharedStrings.xml><?xml version="1.0" encoding="utf-8"?>
<sst xmlns="http://schemas.openxmlformats.org/spreadsheetml/2006/main" count="1732" uniqueCount="776">
  <si>
    <t>PROFIT &amp; LOSS SUMMARY — FY2025</t>
  </si>
  <si>
    <t>Line Item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</si>
  <si>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</si>
  <si>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</si>
  <si>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</si>
  <si>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</si>
  <si>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</si>
  <si>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</si>
  <si>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</si>
  <si>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</si>
  <si>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</si>
  <si>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</si>
  <si>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</si>
  <si>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</si>
  <si>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YTD</t>
  </si>
  <si>
    <t>Budget</t>
  </si>
  <si>
    <t>Variance %</t>
  </si>
  <si>
    <t>New Vehicle Sales</t>
  </si>
  <si>
    <t>Used Vehicle Sales</t>
  </si>
  <si>
    <t>F&amp;I Income</t>
  </si>
  <si>
    <t>Service Revenue</t>
  </si>
  <si>
    <t>Parts Revenue</t>
  </si>
  <si>
    <t>Body Shop Revenue</t>
  </si>
  <si>
    <t>TOTAL REVENUE</t>
  </si>
  <si>
    <t>GROSS PROFIT BY DEPARTMENT</t>
  </si>
  <si>
    <t xml:space="preserve">  New Vehicle Gross</t>
  </si>
  <si>
    <t xml:space="preserve">  Used Vehicle Gross</t>
  </si>
  <si>
    <t xml:space="preserve">  F&amp;I Gross</t>
  </si>
  <si>
    <t xml:space="preserve">  Service &amp; Parts Gross</t>
  </si>
  <si>
    <t xml:space="preserve">  Body Shop Gross</t>
  </si>
  <si>
    <t>TOTAL GROSS PROFIT</t>
  </si>
  <si>
    <t xml:space="preserve">  Gross Margin %</t>
  </si>
  <si>
    <t>OPERATING EXPENSES</t>
  </si>
  <si>
    <t xml:space="preserve">  Personnel</t>
  </si>
  <si>
    <t xml:space="preserve">  Advertising</t>
  </si>
  <si>
    <t xml:space="preserve">  Facilities</t>
  </si>
  <si>
    <t>TOTAL OPERATING EXPENSES</t>
  </si>
  <si>
    <t>OPERATING INCOME</t>
  </si>
  <si>
    <t>ADDBACKS</t>
  </si>
  <si>
    <t xml:space="preserve">  Depreciation &amp; Amortization</t>
  </si>
  <si>
    <t xml:space="preserve">  Absorption Bonus Addback</t>
  </si>
  <si>
    <t>ADJUSTED EBITDA</t>
  </si>
  <si>
    <t xml:space="preserve">  EBITDA Margin</t>
  </si>
  <si>
    <t>Tax Provision</t>
  </si>
  <si>
    <t>NET INCOME</t>
  </si>
  <si>
    <t>▼ DEEP FORMULA CHAIN SHOWCASE ▼</t>
  </si>
  <si>
    <t>Chain Step</t>
  </si>
  <si>
    <t>Description</t>
  </si>
  <si>
    <t>Value</t>
  </si>
  <si>
    <t>Formula Anatomy</t>
  </si>
  <si>
    <t>Hop 1 (Leaf)</t>
  </si>
  <si>
    <t>PrimeRate (input)</t>
  </si>
  <si>
    <t>Hardcoded on Assumptions!B26</t>
  </si>
  <si>
    <t>Hop 2</t>
  </si>
  <si>
    <t>EffectiveFloorPlanRate = Prime + Spread</t>
  </si>
  <si>
    <t>Hop 3</t>
  </si>
  <si>
    <t>AvgDaysOnLot (cross-sheet AVERAGE)</t>
  </si>
  <si>
    <t>Hop 4</t>
  </si>
  <si>
    <t>AgedInventoryMultiplier (IF tier)</t>
  </si>
  <si>
    <t>Hop 5</t>
  </si>
  <si>
    <t>RiskAdjustedFloorPlanRate = Eff × Aged</t>
  </si>
  <si>
    <t>Hop 6</t>
  </si>
  <si>
    <t>Total Floor Plan Interest (UV sheet)</t>
  </si>
  <si>
    <t>SUMPRODUCT of DOL×Cost × rate</t>
  </si>
  <si>
    <t>Hop 7 (Aggregate)</t>
  </si>
  <si>
    <t>Used Adjusted Gross (feeds P&amp;L row 14)</t>
  </si>
  <si>
    <t>Hop 8 (Consumer)</t>
  </si>
  <si>
    <t>Total Gross Profit YTD (row 18 N col)</t>
  </si>
  <si>
    <t>Hop 9 (EBITDA)</t>
  </si>
  <si>
    <t>Adjusted EBITDA YTD</t>
  </si>
  <si>
    <t>▼ USER-PATTERN COMPOSITE (IF+VLOOKUP+SUMIFS+DATE) ▼</t>
  </si>
  <si>
    <t>Platinum Q2 Front Gross</t>
  </si>
  <si>
    <t>IF(VLOOKUP(tier rate)&gt;3%, SUMIFS(front gross, tier=Platinum, date&gt;Apr 1, date&lt;Jul 1), 0)</t>
  </si>
  <si>
    <t>Gold+ Commission Pool YTD</t>
  </si>
  <si>
    <t>IF(Gold rate&gt;=4%, SUMIFS(commission, tier=Gold) + SUMIFS(commission, tier=Platinum), 0)</t>
  </si>
  <si>
    <t>Conditional Incentive Payout</t>
  </si>
  <si>
    <t>IF(absorption above target AND EBITDA above budget, SUMPRODUCT-weighted payout, 0)</t>
  </si>
  <si>
    <t>NEW VEHICLE DEAL LOG</t>
  </si>
  <si>
    <t>Stock#</t>
  </si>
  <si>
    <t>VIN</t>
  </si>
  <si>
    <t>Sale Date</t>
  </si>
  <si>
    <t>Month</t>
  </si>
  <si>
    <t>OEM</t>
  </si>
  <si>
    <t>Sale Price</t>
  </si>
  <si>
    <t>Invoice Cost</t>
  </si>
  <si>
    <t>Holdback</t>
  </si>
  <si>
    <t>Incentive Allocation</t>
  </si>
  <si>
    <t>Front Gross</t>
  </si>
  <si>
    <t>F&amp;I Revenue</t>
  </si>
  <si>
    <t>Total Deal Gross</t>
  </si>
  <si>
    <t>Deal PVR</t>
  </si>
  <si>
    <t>Performance Tier</t>
  </si>
  <si>
    <t>Base Commission</t>
  </si>
  <si>
    <t>Tier Bonus</t>
  </si>
  <si>
    <t>High-Performer Incentive</t>
  </si>
  <si>
    <t>Total Compensation</t>
  </si>
  <si>
    <t>N1017</t>
  </si>
  <si>
    <t>VINT100017</t>
  </si>
  <si>
    <t>Toyota</t>
  </si>
  <si>
    <t>N1011</t>
  </si>
  <si>
    <t>VINT100011</t>
  </si>
  <si>
    <t>N1023</t>
  </si>
  <si>
    <t>VINT100023</t>
  </si>
  <si>
    <t>N1047</t>
  </si>
  <si>
    <t>VINH100047</t>
  </si>
  <si>
    <t>Honda</t>
  </si>
  <si>
    <t>N1018</t>
  </si>
  <si>
    <t>VINF100018</t>
  </si>
  <si>
    <t>Ford</t>
  </si>
  <si>
    <t>N1048</t>
  </si>
  <si>
    <t>VINT100048</t>
  </si>
  <si>
    <t>N1002</t>
  </si>
  <si>
    <t>VINH100002</t>
  </si>
  <si>
    <t>N1020</t>
  </si>
  <si>
    <t>VINT100020</t>
  </si>
  <si>
    <t>N1028</t>
  </si>
  <si>
    <t>VINT100028</t>
  </si>
  <si>
    <t>N1001</t>
  </si>
  <si>
    <t>VINT100001</t>
  </si>
  <si>
    <t>N1045</t>
  </si>
  <si>
    <t>VINT100045</t>
  </si>
  <si>
    <t>N1003</t>
  </si>
  <si>
    <t>VINF100003</t>
  </si>
  <si>
    <t>N1037</t>
  </si>
  <si>
    <t>VINF100037</t>
  </si>
  <si>
    <t>N1043</t>
  </si>
  <si>
    <t>VINT100043</t>
  </si>
  <si>
    <t>N1012</t>
  </si>
  <si>
    <t>VINT100012</t>
  </si>
  <si>
    <t>N1021</t>
  </si>
  <si>
    <t>VINF100021</t>
  </si>
  <si>
    <t>N1027</t>
  </si>
  <si>
    <t>VINF100027</t>
  </si>
  <si>
    <t>N1005</t>
  </si>
  <si>
    <t>VINT100005</t>
  </si>
  <si>
    <t>N1042</t>
  </si>
  <si>
    <t>VINF100042</t>
  </si>
  <si>
    <t>N1007</t>
  </si>
  <si>
    <t>VINT100007</t>
  </si>
  <si>
    <t>N1013</t>
  </si>
  <si>
    <t>VINH100013</t>
  </si>
  <si>
    <t>N1022</t>
  </si>
  <si>
    <t>VINT100022</t>
  </si>
  <si>
    <t>N1008</t>
  </si>
  <si>
    <t>VINH100008</t>
  </si>
  <si>
    <t>N1031</t>
  </si>
  <si>
    <t>VINT100031</t>
  </si>
  <si>
    <t>N1033</t>
  </si>
  <si>
    <t>VINH100033</t>
  </si>
  <si>
    <t>N1049</t>
  </si>
  <si>
    <t>VINH100049</t>
  </si>
  <si>
    <t>N1006</t>
  </si>
  <si>
    <t>VINH100006</t>
  </si>
  <si>
    <t>N1046</t>
  </si>
  <si>
    <t>VINF100046</t>
  </si>
  <si>
    <t>N1038</t>
  </si>
  <si>
    <t>VINF100038</t>
  </si>
  <si>
    <t>N1039</t>
  </si>
  <si>
    <t>VINT100039</t>
  </si>
  <si>
    <t>N1025</t>
  </si>
  <si>
    <t>VINH100025</t>
  </si>
  <si>
    <t>N1032</t>
  </si>
  <si>
    <t>VINF100032</t>
  </si>
  <si>
    <t>N1009</t>
  </si>
  <si>
    <t>VINH100009</t>
  </si>
  <si>
    <t>N1036</t>
  </si>
  <si>
    <t>VINH100036</t>
  </si>
  <si>
    <t>N1015</t>
  </si>
  <si>
    <t>VINT100015</t>
  </si>
  <si>
    <t>N1029</t>
  </si>
  <si>
    <t>VINT100029</t>
  </si>
  <si>
    <t>N1035</t>
  </si>
  <si>
    <t>VINT100035</t>
  </si>
  <si>
    <t>N1034</t>
  </si>
  <si>
    <t>VINT100034</t>
  </si>
  <si>
    <t>N1044</t>
  </si>
  <si>
    <t>VINT100044</t>
  </si>
  <si>
    <t>N1040</t>
  </si>
  <si>
    <t>VINT100040</t>
  </si>
  <si>
    <t>N1000</t>
  </si>
  <si>
    <t>VINT100000</t>
  </si>
  <si>
    <t>N1030</t>
  </si>
  <si>
    <t>VINF100030</t>
  </si>
  <si>
    <t>N1024</t>
  </si>
  <si>
    <t>VINF100024</t>
  </si>
  <si>
    <t>N1019</t>
  </si>
  <si>
    <t>VINH100019</t>
  </si>
  <si>
    <t>N1010</t>
  </si>
  <si>
    <t>VINH100010</t>
  </si>
  <si>
    <t>N1004</t>
  </si>
  <si>
    <t>VINF100004</t>
  </si>
  <si>
    <t>N1016</t>
  </si>
  <si>
    <t>VINF100016</t>
  </si>
  <si>
    <t>N1026</t>
  </si>
  <si>
    <t>VINT100026</t>
  </si>
  <si>
    <t>N1041</t>
  </si>
  <si>
    <t>VINT100041</t>
  </si>
  <si>
    <t>N1014</t>
  </si>
  <si>
    <t>VINF100014</t>
  </si>
  <si>
    <t>MONTHLY SUMMARY</t>
  </si>
  <si>
    <t>Unit Count</t>
  </si>
  <si>
    <t>Avg Front Gross</t>
  </si>
  <si>
    <t>Total Front Gross</t>
  </si>
  <si>
    <t>Total F&amp;I</t>
  </si>
  <si>
    <t>Avg F&amp;I PVR</t>
  </si>
  <si>
    <t>Total Gross</t>
  </si>
  <si>
    <t>TOTAL</t>
  </si>
  <si>
    <t>USED VEHICLE DEAL LOG</t>
  </si>
  <si>
    <t>Acq Source</t>
  </si>
  <si>
    <t>Days on Lot</t>
  </si>
  <si>
    <t>Acquisition Cost</t>
  </si>
  <si>
    <t>Recon Cost</t>
  </si>
  <si>
    <t>Floor Plan Interest</t>
  </si>
  <si>
    <t>Adjusted Gross</t>
  </si>
  <si>
    <t>Gross %</t>
  </si>
  <si>
    <t>U2005</t>
  </si>
  <si>
    <t>VINU200005</t>
  </si>
  <si>
    <t>Direct</t>
  </si>
  <si>
    <t>U2028</t>
  </si>
  <si>
    <t>VINU200028</t>
  </si>
  <si>
    <t>Auction</t>
  </si>
  <si>
    <t>U2002</t>
  </si>
  <si>
    <t>VINU200002</t>
  </si>
  <si>
    <t>U2023</t>
  </si>
  <si>
    <t>VINU200023</t>
  </si>
  <si>
    <t>U2006</t>
  </si>
  <si>
    <t>VINU200006</t>
  </si>
  <si>
    <t>Trade-in</t>
  </si>
  <si>
    <t>U2031</t>
  </si>
  <si>
    <t>VINU200031</t>
  </si>
  <si>
    <t>U2026</t>
  </si>
  <si>
    <t>VINU200026</t>
  </si>
  <si>
    <t>U2019</t>
  </si>
  <si>
    <t>VINU200019</t>
  </si>
  <si>
    <t>U2000</t>
  </si>
  <si>
    <t>VINU200000</t>
  </si>
  <si>
    <t>U2011</t>
  </si>
  <si>
    <t>VINU200011</t>
  </si>
  <si>
    <t>U2029</t>
  </si>
  <si>
    <t>VINU200029</t>
  </si>
  <si>
    <t>U2001</t>
  </si>
  <si>
    <t>VINU200001</t>
  </si>
  <si>
    <t>U2015</t>
  </si>
  <si>
    <t>VINU200015</t>
  </si>
  <si>
    <t>U2049</t>
  </si>
  <si>
    <t>VINU200049</t>
  </si>
  <si>
    <t>U2024</t>
  </si>
  <si>
    <t>VINU200024</t>
  </si>
  <si>
    <t>U2012</t>
  </si>
  <si>
    <t>VINU200012</t>
  </si>
  <si>
    <t>U2034</t>
  </si>
  <si>
    <t>VINU200034</t>
  </si>
  <si>
    <t>U2040</t>
  </si>
  <si>
    <t>VINU200040</t>
  </si>
  <si>
    <t>U2021</t>
  </si>
  <si>
    <t>VINU200021</t>
  </si>
  <si>
    <t>U2039</t>
  </si>
  <si>
    <t>VINU200039</t>
  </si>
  <si>
    <t>U2041</t>
  </si>
  <si>
    <t>VINU200041</t>
  </si>
  <si>
    <t>U2025</t>
  </si>
  <si>
    <t>VINU200025</t>
  </si>
  <si>
    <t>U2018</t>
  </si>
  <si>
    <t>VINU200018</t>
  </si>
  <si>
    <t>U2004</t>
  </si>
  <si>
    <t>VINU200004</t>
  </si>
  <si>
    <t>U2027</t>
  </si>
  <si>
    <t>VINU200027</t>
  </si>
  <si>
    <t>U2010</t>
  </si>
  <si>
    <t>VINU200010</t>
  </si>
  <si>
    <t>U2033</t>
  </si>
  <si>
    <t>VINU200033</t>
  </si>
  <si>
    <t>U2048</t>
  </si>
  <si>
    <t>VINU200048</t>
  </si>
  <si>
    <t>U2032</t>
  </si>
  <si>
    <t>VINU200032</t>
  </si>
  <si>
    <t>U2007</t>
  </si>
  <si>
    <t>VINU200007</t>
  </si>
  <si>
    <t>U2008</t>
  </si>
  <si>
    <t>VINU200008</t>
  </si>
  <si>
    <t>U2003</t>
  </si>
  <si>
    <t>VINU200003</t>
  </si>
  <si>
    <t>U2036</t>
  </si>
  <si>
    <t>VINU200036</t>
  </si>
  <si>
    <t>U2043</t>
  </si>
  <si>
    <t>VINU200043</t>
  </si>
  <si>
    <t>U2046</t>
  </si>
  <si>
    <t>VINU200046</t>
  </si>
  <si>
    <t>U2030</t>
  </si>
  <si>
    <t>VINU200030</t>
  </si>
  <si>
    <t>U2020</t>
  </si>
  <si>
    <t>VINU200020</t>
  </si>
  <si>
    <t>U2035</t>
  </si>
  <si>
    <t>VINU200035</t>
  </si>
  <si>
    <t>U2022</t>
  </si>
  <si>
    <t>VINU200022</t>
  </si>
  <si>
    <t>U2013</t>
  </si>
  <si>
    <t>VINU200013</t>
  </si>
  <si>
    <t>U2038</t>
  </si>
  <si>
    <t>VINU200038</t>
  </si>
  <si>
    <t>U2014</t>
  </si>
  <si>
    <t>VINU200014</t>
  </si>
  <si>
    <t>U2037</t>
  </si>
  <si>
    <t>VINU200037</t>
  </si>
  <si>
    <t>U2047</t>
  </si>
  <si>
    <t>VINU200047</t>
  </si>
  <si>
    <t>U2017</t>
  </si>
  <si>
    <t>VINU200017</t>
  </si>
  <si>
    <t>U2044</t>
  </si>
  <si>
    <t>VINU200044</t>
  </si>
  <si>
    <t>U2009</t>
  </si>
  <si>
    <t>VINU200009</t>
  </si>
  <si>
    <t>U2016</t>
  </si>
  <si>
    <t>VINU200016</t>
  </si>
  <si>
    <t>U2042</t>
  </si>
  <si>
    <t>VINU200042</t>
  </si>
  <si>
    <t>U2045</t>
  </si>
  <si>
    <t>VINU200045</t>
  </si>
  <si>
    <t>MONTHLY SUMMARY (SUMPRODUCT weighted)</t>
  </si>
  <si>
    <t>Units</t>
  </si>
  <si>
    <t>Total Sale $</t>
  </si>
  <si>
    <t>Weighted Avg Gross</t>
  </si>
  <si>
    <t>Total Adj Gross</t>
  </si>
  <si>
    <t>Avg Days on Lot</t>
  </si>
  <si>
    <t>F&amp;I PRODUCT DETAIL</t>
  </si>
  <si>
    <t>FI_ID</t>
  </si>
  <si>
    <t>Deal#</t>
  </si>
  <si>
    <t>Deal Type</t>
  </si>
  <si>
    <t>Product Type</t>
  </si>
  <si>
    <t>Product Cost</t>
  </si>
  <si>
    <t>Product Revenue</t>
  </si>
  <si>
    <t>Reserve</t>
  </si>
  <si>
    <t>Penetration Flag</t>
  </si>
  <si>
    <t>Net Income</t>
  </si>
  <si>
    <t>FI3067</t>
  </si>
  <si>
    <t>Used</t>
  </si>
  <si>
    <t>Tire&amp;Wheel</t>
  </si>
  <si>
    <t>FI3000</t>
  </si>
  <si>
    <t>VSC</t>
  </si>
  <si>
    <t>FI3026</t>
  </si>
  <si>
    <t>Maintenance</t>
  </si>
  <si>
    <t>FI3060</t>
  </si>
  <si>
    <t>FI3080</t>
  </si>
  <si>
    <t>FI3101</t>
  </si>
  <si>
    <t>KeyReplacement</t>
  </si>
  <si>
    <t>FI3063</t>
  </si>
  <si>
    <t>FI3050</t>
  </si>
  <si>
    <t>FI3066</t>
  </si>
  <si>
    <t>FI3083</t>
  </si>
  <si>
    <t>FI3085</t>
  </si>
  <si>
    <t>New</t>
  </si>
  <si>
    <t>Appearance</t>
  </si>
  <si>
    <t>FI3013</t>
  </si>
  <si>
    <t>FI3038</t>
  </si>
  <si>
    <t>FI3120</t>
  </si>
  <si>
    <t>FI3006</t>
  </si>
  <si>
    <t>FI3061</t>
  </si>
  <si>
    <t>GAP</t>
  </si>
  <si>
    <t>FI3105</t>
  </si>
  <si>
    <t>FI3127</t>
  </si>
  <si>
    <t>FI3141</t>
  </si>
  <si>
    <t>FI3146</t>
  </si>
  <si>
    <t>FI3086</t>
  </si>
  <si>
    <t>FI3132</t>
  </si>
  <si>
    <t>FI3051</t>
  </si>
  <si>
    <t>FI3088</t>
  </si>
  <si>
    <t>FI3093</t>
  </si>
  <si>
    <t>FI3090</t>
  </si>
  <si>
    <t>FI3022</t>
  </si>
  <si>
    <t>FI3052</t>
  </si>
  <si>
    <t>FI3062</t>
  </si>
  <si>
    <t>FI3068</t>
  </si>
  <si>
    <t>FI3130</t>
  </si>
  <si>
    <t>FI3079</t>
  </si>
  <si>
    <t>FI3040</t>
  </si>
  <si>
    <t>FI3074</t>
  </si>
  <si>
    <t>FI3020</t>
  </si>
  <si>
    <t>FI3023</t>
  </si>
  <si>
    <t>FI3049</t>
  </si>
  <si>
    <t>FI3100</t>
  </si>
  <si>
    <t>FI3126</t>
  </si>
  <si>
    <t>FI3145</t>
  </si>
  <si>
    <t>FI3004</t>
  </si>
  <si>
    <t>FI3029</t>
  </si>
  <si>
    <t>FI3135</t>
  </si>
  <si>
    <t>FI3142</t>
  </si>
  <si>
    <t>FI3148</t>
  </si>
  <si>
    <t>FI3035</t>
  </si>
  <si>
    <t>FI3017</t>
  </si>
  <si>
    <t>FI3009</t>
  </si>
  <si>
    <t>FI3024</t>
  </si>
  <si>
    <t>FI3002</t>
  </si>
  <si>
    <t>FI3070</t>
  </si>
  <si>
    <t>FI3030</t>
  </si>
  <si>
    <t>FI3099</t>
  </si>
  <si>
    <t>FI3045</t>
  </si>
  <si>
    <t>FI3065</t>
  </si>
  <si>
    <t>FI3043</t>
  </si>
  <si>
    <t>FI3054</t>
  </si>
  <si>
    <t>FI3047</t>
  </si>
  <si>
    <t>FI3129</t>
  </si>
  <si>
    <t>FI3010</t>
  </si>
  <si>
    <t>FI3110</t>
  </si>
  <si>
    <t>FI3113</t>
  </si>
  <si>
    <t>FI3053</t>
  </si>
  <si>
    <t>FI3098</t>
  </si>
  <si>
    <t>FI3108</t>
  </si>
  <si>
    <t>FI3111</t>
  </si>
  <si>
    <t>FI3069</t>
  </si>
  <si>
    <t>FI3084</t>
  </si>
  <si>
    <t>FI3032</t>
  </si>
  <si>
    <t>FI3057</t>
  </si>
  <si>
    <t>FI3072</t>
  </si>
  <si>
    <t>FI3073</t>
  </si>
  <si>
    <t>FI3044</t>
  </si>
  <si>
    <t>FI3149</t>
  </si>
  <si>
    <t>FI3008</t>
  </si>
  <si>
    <t>FI3016</t>
  </si>
  <si>
    <t>FI3112</t>
  </si>
  <si>
    <t>FI3138</t>
  </si>
  <si>
    <t>FI3082</t>
  </si>
  <si>
    <t>FI3005</t>
  </si>
  <si>
    <t>FI3014</t>
  </si>
  <si>
    <t>FI3058</t>
  </si>
  <si>
    <t>FI3104</t>
  </si>
  <si>
    <t>FI3027</t>
  </si>
  <si>
    <t>FI3124</t>
  </si>
  <si>
    <t>FI3139</t>
  </si>
  <si>
    <t>FI3046</t>
  </si>
  <si>
    <t>FI3096</t>
  </si>
  <si>
    <t>FI3106</t>
  </si>
  <si>
    <t>FI3036</t>
  </si>
  <si>
    <t>FI3059</t>
  </si>
  <si>
    <t>FI3147</t>
  </si>
  <si>
    <t>FI3042</t>
  </si>
  <si>
    <t>FI3075</t>
  </si>
  <si>
    <t>FI3078</t>
  </si>
  <si>
    <t>FI3114</t>
  </si>
  <si>
    <t>FI3021</t>
  </si>
  <si>
    <t>FI3071</t>
  </si>
  <si>
    <t>FI3133</t>
  </si>
  <si>
    <t>FI3136</t>
  </si>
  <si>
    <t>FI3102</t>
  </si>
  <si>
    <t>FI3064</t>
  </si>
  <si>
    <t>FI3012</t>
  </si>
  <si>
    <t>FI3031</t>
  </si>
  <si>
    <t>FI3115</t>
  </si>
  <si>
    <t>FI3048</t>
  </si>
  <si>
    <t>FI3128</t>
  </si>
  <si>
    <t>FI3131</t>
  </si>
  <si>
    <t>FI3121</t>
  </si>
  <si>
    <t>FI3003</t>
  </si>
  <si>
    <t>FI3056</t>
  </si>
  <si>
    <t>FI3140</t>
  </si>
  <si>
    <t>FI3039</t>
  </si>
  <si>
    <t>FI3037</t>
  </si>
  <si>
    <t>FI3076</t>
  </si>
  <si>
    <t>FI3117</t>
  </si>
  <si>
    <t>FI3097</t>
  </si>
  <si>
    <t>FI3019</t>
  </si>
  <si>
    <t>FI3087</t>
  </si>
  <si>
    <t>FI3007</t>
  </si>
  <si>
    <t>FI3092</t>
  </si>
  <si>
    <t>FI3125</t>
  </si>
  <si>
    <t>FI3028</t>
  </si>
  <si>
    <t>FI3011</t>
  </si>
  <si>
    <t>FI3033</t>
  </si>
  <si>
    <t>FI3095</t>
  </si>
  <si>
    <t>FI3109</t>
  </si>
  <si>
    <t>FI3041</t>
  </si>
  <si>
    <t>FI3094</t>
  </si>
  <si>
    <t>FI3103</t>
  </si>
  <si>
    <t>FI3034</t>
  </si>
  <si>
    <t>FI3091</t>
  </si>
  <si>
    <t>FI3122</t>
  </si>
  <si>
    <t>FI3143</t>
  </si>
  <si>
    <t>FI3144</t>
  </si>
  <si>
    <t>FI3116</t>
  </si>
  <si>
    <t>FI3015</t>
  </si>
  <si>
    <t>FI3081</t>
  </si>
  <si>
    <t>FI3119</t>
  </si>
  <si>
    <t>FI3134</t>
  </si>
  <si>
    <t>FI3025</t>
  </si>
  <si>
    <t>FI3137</t>
  </si>
  <si>
    <t>FI3077</t>
  </si>
  <si>
    <t>FI3107</t>
  </si>
  <si>
    <t>FI3001</t>
  </si>
  <si>
    <t>FI3018</t>
  </si>
  <si>
    <t>FI3055</t>
  </si>
  <si>
    <t>FI3123</t>
  </si>
  <si>
    <t>FI3089</t>
  </si>
  <si>
    <t>FI3118</t>
  </si>
  <si>
    <t>STORE-LEVEL PVR (cross-sheet)</t>
  </si>
  <si>
    <t>F&amp;I Net Income</t>
  </si>
  <si>
    <t>Total Units (NV+UV)</t>
  </si>
  <si>
    <t>Store PVR</t>
  </si>
  <si>
    <t>Target</t>
  </si>
  <si>
    <t>Variance</t>
  </si>
  <si>
    <t>% of Target</t>
  </si>
  <si>
    <t>SERVICE &amp; PARTS REPAIR ORDERS</t>
  </si>
  <si>
    <t>RO#</t>
  </si>
  <si>
    <t>Date</t>
  </si>
  <si>
    <t>Type</t>
  </si>
  <si>
    <t>Labor Revenue</t>
  </si>
  <si>
    <t>Labor Cost</t>
  </si>
  <si>
    <t>Parts Cost</t>
  </si>
  <si>
    <t>Total Revenue</t>
  </si>
  <si>
    <t>RO5124</t>
  </si>
  <si>
    <t>Warranty</t>
  </si>
  <si>
    <t>RO5173</t>
  </si>
  <si>
    <t>Customer Pay</t>
  </si>
  <si>
    <t>RO5055</t>
  </si>
  <si>
    <t>RO5059</t>
  </si>
  <si>
    <t>RO5163</t>
  </si>
  <si>
    <t>RO5198</t>
  </si>
  <si>
    <t>RO5190</t>
  </si>
  <si>
    <t>Internal</t>
  </si>
  <si>
    <t>RO5104</t>
  </si>
  <si>
    <t>RO5082</t>
  </si>
  <si>
    <t>RO5119</t>
  </si>
  <si>
    <t>RO5071</t>
  </si>
  <si>
    <t>RO5015</t>
  </si>
  <si>
    <t>RO5010</t>
  </si>
  <si>
    <t>RO5102</t>
  </si>
  <si>
    <t>RO5122</t>
  </si>
  <si>
    <t>RO5099</t>
  </si>
  <si>
    <t>RO5086</t>
  </si>
  <si>
    <t>RO5150</t>
  </si>
  <si>
    <t>RO5067</t>
  </si>
  <si>
    <t>RO5032</t>
  </si>
  <si>
    <t>RO5036</t>
  </si>
  <si>
    <t>RO5121</t>
  </si>
  <si>
    <t>RO5085</t>
  </si>
  <si>
    <t>RO5007</t>
  </si>
  <si>
    <t>RO5166</t>
  </si>
  <si>
    <t>RO5050</t>
  </si>
  <si>
    <t>RO5018</t>
  </si>
  <si>
    <t>RO5044</t>
  </si>
  <si>
    <t>RO5000</t>
  </si>
  <si>
    <t>RO5195</t>
  </si>
  <si>
    <t>RO5012</t>
  </si>
  <si>
    <t>RO5068</t>
  </si>
  <si>
    <t>RO5147</t>
  </si>
  <si>
    <t>RO5004</t>
  </si>
  <si>
    <t>RO5056</t>
  </si>
  <si>
    <t>RO5153</t>
  </si>
  <si>
    <t>RO5058</t>
  </si>
  <si>
    <t>RO5182</t>
  </si>
  <si>
    <t>RO5177</t>
  </si>
  <si>
    <t>RO5098</t>
  </si>
  <si>
    <t>RO5039</t>
  </si>
  <si>
    <t>RO5103</t>
  </si>
  <si>
    <t>RO5080</t>
  </si>
  <si>
    <t>RO5131</t>
  </si>
  <si>
    <t>RO5196</t>
  </si>
  <si>
    <t>RO5136</t>
  </si>
  <si>
    <t>RO5142</t>
  </si>
  <si>
    <t>RO5157</t>
  </si>
  <si>
    <t>RO5061</t>
  </si>
  <si>
    <t>RO5013</t>
  </si>
  <si>
    <t>RO5192</t>
  </si>
  <si>
    <t>RO5146</t>
  </si>
  <si>
    <t>RO5005</t>
  </si>
  <si>
    <t>RO5161</t>
  </si>
  <si>
    <t>RO5159</t>
  </si>
  <si>
    <t>RO5172</t>
  </si>
  <si>
    <t>RO5186</t>
  </si>
  <si>
    <t>RO5175</t>
  </si>
  <si>
    <t>RO5170</t>
  </si>
  <si>
    <t>RO5199</t>
  </si>
  <si>
    <t>RO5063</t>
  </si>
  <si>
    <t>RO5148</t>
  </si>
  <si>
    <t>RO5030</t>
  </si>
  <si>
    <t>RO5145</t>
  </si>
  <si>
    <t>RO5154</t>
  </si>
  <si>
    <t>RO5180</t>
  </si>
  <si>
    <t>RO5073</t>
  </si>
  <si>
    <t>RO5117</t>
  </si>
  <si>
    <t>RO5052</t>
  </si>
  <si>
    <t>RO5028</t>
  </si>
  <si>
    <t>RO5022</t>
  </si>
  <si>
    <t>RO5076</t>
  </si>
  <si>
    <t>RO5066</t>
  </si>
  <si>
    <t>RO5118</t>
  </si>
  <si>
    <t>RO5120</t>
  </si>
  <si>
    <t>RO5160</t>
  </si>
  <si>
    <t>RO5183</t>
  </si>
  <si>
    <t>RO5169</t>
  </si>
  <si>
    <t>RO5001</t>
  </si>
  <si>
    <t>RO5091</t>
  </si>
  <si>
    <t>RO5092</t>
  </si>
  <si>
    <t>RO5113</t>
  </si>
  <si>
    <t>RO5158</t>
  </si>
  <si>
    <t>RO5135</t>
  </si>
  <si>
    <t>RO5033</t>
  </si>
  <si>
    <t>RO5093</t>
  </si>
  <si>
    <t>RO5014</t>
  </si>
  <si>
    <t>RO5049</t>
  </si>
  <si>
    <t>RO5097</t>
  </si>
  <si>
    <t>RO5025</t>
  </si>
  <si>
    <t>RO5123</t>
  </si>
  <si>
    <t>RO5151</t>
  </si>
  <si>
    <t>RO5019</t>
  </si>
  <si>
    <t>RO5034</t>
  </si>
  <si>
    <t>RO5132</t>
  </si>
  <si>
    <t>RO5088</t>
  </si>
  <si>
    <t>RO5143</t>
  </si>
  <si>
    <t>RO5089</t>
  </si>
  <si>
    <t>RO5168</t>
  </si>
  <si>
    <t>RO5062</t>
  </si>
  <si>
    <t>RO5031</t>
  </si>
  <si>
    <t>RO5094</t>
  </si>
  <si>
    <t>RO5029</t>
  </si>
  <si>
    <t>RO5053</t>
  </si>
  <si>
    <t>RO5101</t>
  </si>
  <si>
    <t>RO5083</t>
  </si>
  <si>
    <t>RO5139</t>
  </si>
  <si>
    <t>RO5017</t>
  </si>
  <si>
    <t>RO5020</t>
  </si>
  <si>
    <t>RO5115</t>
  </si>
  <si>
    <t>RO5114</t>
  </si>
  <si>
    <t>RO5096</t>
  </si>
  <si>
    <t>RO5129</t>
  </si>
  <si>
    <t>RO5084</t>
  </si>
  <si>
    <t>RO5087</t>
  </si>
  <si>
    <t>RO5027</t>
  </si>
  <si>
    <t>RO5043</t>
  </si>
  <si>
    <t>RO5069</t>
  </si>
  <si>
    <t>RO5112</t>
  </si>
  <si>
    <t>RO5072</t>
  </si>
  <si>
    <t>RO5009</t>
  </si>
  <si>
    <t>RO5021</t>
  </si>
  <si>
    <t>RO5057</t>
  </si>
  <si>
    <t>RO5006</t>
  </si>
  <si>
    <t>RO5046</t>
  </si>
  <si>
    <t>RO5065</t>
  </si>
  <si>
    <t>RO5125</t>
  </si>
  <si>
    <t>RO5144</t>
  </si>
  <si>
    <t>RO5024</t>
  </si>
  <si>
    <t>RO5185</t>
  </si>
  <si>
    <t>RO5141</t>
  </si>
  <si>
    <t>RO5078</t>
  </si>
  <si>
    <t>RO5171</t>
  </si>
  <si>
    <t>RO5081</t>
  </si>
  <si>
    <t>RO5048</t>
  </si>
  <si>
    <t>RO5075</t>
  </si>
  <si>
    <t>RO5037</t>
  </si>
  <si>
    <t>RO5130</t>
  </si>
  <si>
    <t>RO5188</t>
  </si>
  <si>
    <t>RO5156</t>
  </si>
  <si>
    <t>RO5070</t>
  </si>
  <si>
    <t>RO5064</t>
  </si>
  <si>
    <t>RO5003</t>
  </si>
  <si>
    <t>RO5026</t>
  </si>
  <si>
    <t>RO5184</t>
  </si>
  <si>
    <t>RO5165</t>
  </si>
  <si>
    <t>RO5002</t>
  </si>
  <si>
    <t>RO5095</t>
  </si>
  <si>
    <t>RO5128</t>
  </si>
  <si>
    <t>RO5041</t>
  </si>
  <si>
    <t>RO5108</t>
  </si>
  <si>
    <t>RO5100</t>
  </si>
  <si>
    <t>RO5011</t>
  </si>
  <si>
    <t>RO5016</t>
  </si>
  <si>
    <t>RO5197</t>
  </si>
  <si>
    <t>RO5023</t>
  </si>
  <si>
    <t>RO5090</t>
  </si>
  <si>
    <t>RO5116</t>
  </si>
  <si>
    <t>RO5178</t>
  </si>
  <si>
    <t>RO5191</t>
  </si>
  <si>
    <t>RO5040</t>
  </si>
  <si>
    <t>RO5051</t>
  </si>
  <si>
    <t>RO5008</t>
  </si>
  <si>
    <t>RO5110</t>
  </si>
  <si>
    <t>RO5074</t>
  </si>
  <si>
    <t>RO5077</t>
  </si>
  <si>
    <t>RO5107</t>
  </si>
  <si>
    <t>RO5162</t>
  </si>
  <si>
    <t>RO5042</t>
  </si>
  <si>
    <t>RO5111</t>
  </si>
  <si>
    <t>RO5152</t>
  </si>
  <si>
    <t>RO5134</t>
  </si>
  <si>
    <t>RO5106</t>
  </si>
  <si>
    <t>RO5149</t>
  </si>
  <si>
    <t>RO5179</t>
  </si>
  <si>
    <t>RO5193</t>
  </si>
  <si>
    <t>RO5109</t>
  </si>
  <si>
    <t>RO5164</t>
  </si>
  <si>
    <t>RO5038</t>
  </si>
  <si>
    <t>RO5045</t>
  </si>
  <si>
    <t>RO5047</t>
  </si>
  <si>
    <t>RO5140</t>
  </si>
  <si>
    <t>RO5181</t>
  </si>
  <si>
    <t>RO5137</t>
  </si>
  <si>
    <t>RO5187</t>
  </si>
  <si>
    <t>RO5105</t>
  </si>
  <si>
    <t>RO5155</t>
  </si>
  <si>
    <t>RO5138</t>
  </si>
  <si>
    <t>RO5035</t>
  </si>
  <si>
    <t>RO5079</t>
  </si>
  <si>
    <t>RO5189</t>
  </si>
  <si>
    <t>RO5194</t>
  </si>
  <si>
    <t>RO5127</t>
  </si>
  <si>
    <t>RO5176</t>
  </si>
  <si>
    <t>RO5167</t>
  </si>
  <si>
    <t>RO5054</t>
  </si>
  <si>
    <t>RO5133</t>
  </si>
  <si>
    <t>RO5060</t>
  </si>
  <si>
    <t>RO5126</t>
  </si>
  <si>
    <t>RO5174</t>
  </si>
  <si>
    <t>REVENUE BY TYPE × MONTH (formula-driven pivot)</t>
  </si>
  <si>
    <t>Customer Pay Count</t>
  </si>
  <si>
    <t>Warranty Count</t>
  </si>
  <si>
    <t>Internal Count</t>
  </si>
  <si>
    <t>Customer Pay Revenue</t>
  </si>
  <si>
    <t>Warranty Revenue</t>
  </si>
  <si>
    <t>Internal Revenue</t>
  </si>
  <si>
    <t>SERVICE ABSORPTION (circular ref ↔ P&amp;L Overhead)</t>
  </si>
  <si>
    <t>Service Gross</t>
  </si>
  <si>
    <t>Parts Gross</t>
  </si>
  <si>
    <t>Total Dealership Overhead</t>
  </si>
  <si>
    <t>SERVICE ABSORPTION RATE</t>
  </si>
  <si>
    <t>Variance vs Target</t>
  </si>
  <si>
    <t>ASSUMPTIONS &amp; DRIVERS</t>
  </si>
  <si>
    <t>Assumption</t>
  </si>
  <si>
    <t>Effective Date</t>
  </si>
  <si>
    <t>Notes</t>
  </si>
  <si>
    <t>Status</t>
  </si>
  <si>
    <t>FloorPlanRate</t>
  </si>
  <si>
    <t>Used vehicle floor plan APR (STALE)</t>
  </si>
  <si>
    <t>IncentiveRate_Toyota</t>
  </si>
  <si>
    <t>OEM incentive % of invoice</t>
  </si>
  <si>
    <t>IncentiveRate_Honda</t>
  </si>
  <si>
    <t>IncentiveRate_Ford</t>
  </si>
  <si>
    <t>FI_PVR_Target</t>
  </si>
  <si>
    <t>F&amp;I per vehicle retailed target</t>
  </si>
  <si>
    <t>ServiceAbsorptionTarget</t>
  </si>
  <si>
    <t>Fixed ops coverage target (STALE)</t>
  </si>
  <si>
    <t>TaxRate</t>
  </si>
  <si>
    <t>Effective corporate tax rate</t>
  </si>
  <si>
    <t>HoldbackRate</t>
  </si>
  <si>
    <t>Mfr holdback on invoice (STALE)</t>
  </si>
  <si>
    <t>ReconCostCap</t>
  </si>
  <si>
    <t>Max recon cost before escalation</t>
  </si>
  <si>
    <t>OverheadAllocationMethod</t>
  </si>
  <si>
    <t>revenue-weighted</t>
  </si>
  <si>
    <t>Method for OH alloc</t>
  </si>
  <si>
    <t>VarianceThreshold</t>
  </si>
  <si>
    <t>CF threshold for red highlight</t>
  </si>
  <si>
    <t>StalenessDays</t>
  </si>
  <si>
    <t>Days before assumption flagged stale</t>
  </si>
  <si>
    <t>AbsorptionBonusRate</t>
  </si>
  <si>
    <t>EBITDA addback when absorption &gt; tgt</t>
  </si>
  <si>
    <t>⚠️  IMPORTANT: Enable iterative calculation</t>
  </si>
  <si>
    <t>File → Options → Formulas → Enable iterative calculation (100 iterations, 0.001 max change)</t>
  </si>
  <si>
    <t>Required for Service Absorption ↔ Overhead circular reference to resolve.</t>
  </si>
  <si>
    <t>DYNAMIC RATE ENGINE (cascading formulas)</t>
  </si>
  <si>
    <t>PrimeRate</t>
  </si>
  <si>
    <t>Fed prime rate input</t>
  </si>
  <si>
    <t>FloorPlanSpread</t>
  </si>
  <si>
    <t>Lender markup over prime</t>
  </si>
  <si>
    <t>EffectiveFloorPlanRate</t>
  </si>
  <si>
    <t>AvgDaysOnLot_UV</t>
  </si>
  <si>
    <t>AgedInventoryMultiplier</t>
  </si>
  <si>
    <t>IF tier based on AvgDaysOnLot</t>
  </si>
  <si>
    <t>RiskAdjustedFloorPlanRate</t>
  </si>
  <si>
    <t>COMMISSION TIER TABLE (VLOOKUP source)</t>
  </si>
  <si>
    <t>Tier</t>
  </si>
  <si>
    <t>Min PVR</t>
  </si>
  <si>
    <t>Commission %</t>
  </si>
  <si>
    <t>Bonus %</t>
  </si>
  <si>
    <t>Spiff Threshold</t>
  </si>
  <si>
    <t>Bronze</t>
  </si>
  <si>
    <t>Silver</t>
  </si>
  <si>
    <t>Gold</t>
  </si>
  <si>
    <t>Platinum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</si>
</sst>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%;\(0.0%\);&quot;-&quot;"/>
    <numFmt numFmtId="165" formatCode="yyyy\-mm\-dd"/>
    <numFmt numFmtId="166" formatCode="&quot;$&quot;#,##0;\(&quot;$&quot;#,##0\);&quot;-&quot;"/>
    <numFmt numFmtId="167" formatCode="#,##0;\(#,##0\);&quot;-&quot;"/>
    <numFmt numFmtId="168" formatCode="&quot;$&quot;#,##0.00;\(&quot;$&quot;#,##0.00\);&quot;-&quot;"/>
    <numFmt numFmtId="169" formatCode="0.00\x"/>
  </numFmts>
  <fonts count="16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1"/>
      <color rgb="FFFFFFFF"/>
      <name val="Arial"/>
      <family val="2"/>
    </font>
    <font>
      <b/>
      <sz val="11"/>
      <name val="Arial"/>
      <family val="2"/>
    </font>
    <font>
      <sz val="11"/>
      <color rgb="FF0000FF"/>
      <name val="Arial"/>
      <family val="2"/>
    </font>
    <font>
      <i/>
      <sz val="11"/>
      <color rgb="FF555555"/>
      <name val="Arial"/>
      <family val="2"/>
    </font>
    <font>
      <sz val="11"/>
      <color rgb="FF000000"/>
      <name val="Arial"/>
      <family val="2"/>
    </font>
    <font>
      <b/>
      <sz val="11"/>
      <color rgb="FFC00000"/>
      <name val="Arial"/>
      <family val="2"/>
    </font>
    <font>
      <i/>
      <sz val="11"/>
      <name val="Arial"/>
      <family val="2"/>
    </font>
    <font>
      <sz val="11"/>
      <color rgb="FF008000"/>
      <name val="Arial"/>
      <family val="2"/>
    </font>
    <font>
      <b/>
      <sz val="12"/>
      <name val="Arial"/>
      <family val="2"/>
    </font>
    <font>
      <b/>
      <sz val="12"/>
      <color rgb="FFC00000"/>
      <name val="Arial"/>
      <family val="2"/>
    </font>
    <font>
      <b/>
      <sz val="11"/>
      <color rgb="FF1F4E78"/>
      <name val="Arial"/>
      <family val="2"/>
    </font>
    <font>
      <b/>
      <sz val="12"/>
      <color rgb="FF1F4E78"/>
      <name val="Arial"/>
      <family val="2"/>
    </font>
    <font>
      <b/>
      <i/>
      <sz val="11"/>
      <name val="Arial"/>
      <family val="2"/>
    </font>
    <font>
      <b/>
      <sz val="11"/>
      <color rgb="FFC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FFE699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/>
    <xf numFmtId="166" fontId="9" fillId="0" borderId="0" xfId="0" applyNumberFormat="1" applyFont="1"/>
    <xf numFmtId="166" fontId="3" fillId="0" borderId="0" xfId="0" applyNumberFormat="1" applyFont="1"/>
    <xf numFmtId="166" fontId="4" fillId="3" borderId="0" xfId="0" applyNumberFormat="1" applyFont="1" applyFill="1"/>
    <xf numFmtId="164" fontId="6" fillId="0" borderId="0" xfId="0" applyNumberFormat="1" applyFont="1"/>
    <xf numFmtId="166" fontId="6" fillId="0" borderId="0" xfId="0" applyNumberFormat="1" applyFont="1"/>
    <xf numFmtId="0" fontId="3" fillId="4" borderId="0" xfId="0" applyFont="1" applyFill="1"/>
    <xf numFmtId="166" fontId="3" fillId="4" borderId="0" xfId="0" applyNumberFormat="1" applyFont="1" applyFill="1"/>
    <xf numFmtId="0" fontId="12" fillId="0" borderId="0" xfId="0" applyFont="1"/>
    <xf numFmtId="0" fontId="8" fillId="0" borderId="0" xfId="0" applyFont="1"/>
    <xf numFmtId="164" fontId="3" fillId="0" borderId="0" xfId="0" applyNumberFormat="1" applyFont="1"/>
    <xf numFmtId="0" fontId="13" fillId="4" borderId="0" xfId="0" applyFont="1" applyFill="1"/>
    <xf numFmtId="166" fontId="10" fillId="4" borderId="0" xfId="0" applyNumberFormat="1" applyFont="1" applyFill="1"/>
    <xf numFmtId="0" fontId="10" fillId="4" borderId="0" xfId="0" applyFont="1" applyFill="1"/>
    <xf numFmtId="0" fontId="11" fillId="0" borderId="0" xfId="0" applyFont="1"/>
    <xf numFmtId="0" fontId="2" fillId="2" borderId="0" xfId="0" applyFont="1" applyFill="1"/>
    <xf numFmtId="164" fontId="9" fillId="0" borderId="0" xfId="0" applyNumberFormat="1" applyFont="1"/>
    <xf numFmtId="0" fontId="5" fillId="0" borderId="0" xfId="0" applyFont="1"/>
    <xf numFmtId="167" fontId="9" fillId="0" borderId="0" xfId="0" applyNumberFormat="1" applyFont="1"/>
    <xf numFmtId="169" fontId="9" fillId="0" borderId="0" xfId="0" applyNumberFormat="1" applyFont="1"/>
    <xf numFmtId="0" fontId="2" fillId="2" borderId="1" xfId="0" applyFont="1" applyFill="1" applyBorder="1" applyAlignment="1">
      <alignment horizontal="center"/>
    </xf>
    <xf numFmtId="0" fontId="4" fillId="0" borderId="0" xfId="0" applyFont="1"/>
    <xf numFmtId="165" fontId="4" fillId="0" borderId="0" xfId="0" applyNumberFormat="1" applyFont="1"/>
    <xf numFmtId="0" fontId="6" fillId="0" borderId="0" xfId="0" applyFont="1"/>
    <xf numFmtId="166" fontId="4" fillId="0" borderId="0" xfId="0" applyNumberFormat="1" applyFont="1"/>
    <xf numFmtId="0" fontId="9" fillId="0" borderId="0" xfId="0" applyFont="1"/>
    <xf numFmtId="0" fontId="10" fillId="0" borderId="0" xfId="0" applyFont="1"/>
    <xf numFmtId="167" fontId="6" fillId="0" borderId="0" xfId="0" applyNumberFormat="1" applyFont="1"/>
    <xf numFmtId="167" fontId="3" fillId="4" borderId="0" xfId="0" applyNumberFormat="1" applyFont="1" applyFill="1"/>
    <xf numFmtId="167" fontId="4" fillId="0" borderId="0" xfId="0" applyNumberFormat="1" applyFont="1"/>
    <xf numFmtId="168" fontId="9" fillId="0" borderId="0" xfId="0" applyNumberFormat="1" applyFont="1"/>
    <xf numFmtId="167" fontId="0" fillId="0" borderId="0" xfId="0" applyNumberFormat="1"/>
    <xf numFmtId="166" fontId="0" fillId="0" borderId="0" xfId="0" applyNumberFormat="1"/>
    <xf numFmtId="164" fontId="3" fillId="3" borderId="0" xfId="0" applyNumberFormat="1" applyFont="1" applyFill="1"/>
    <xf numFmtId="164" fontId="4" fillId="3" borderId="0" xfId="0" applyNumberFormat="1" applyFont="1" applyFill="1"/>
    <xf numFmtId="0" fontId="4" fillId="3" borderId="0" xfId="0" applyFont="1" applyFill="1"/>
    <xf numFmtId="167" fontId="4" fillId="3" borderId="0" xfId="0" applyNumberFormat="1" applyFont="1" applyFill="1"/>
    <xf numFmtId="0" fontId="7" fillId="0" borderId="0" xfId="0" applyFont="1"/>
    <xf numFmtId="169" fontId="6" fillId="0" borderId="0" xfId="0" applyNumberFormat="1" applyFont="1"/>
    <xf numFmtId="164" fontId="6" fillId="5" borderId="0" xfId="0" applyNumberFormat="1" applyFont="1" applyFill="1"/>
    <xf numFmtId="0" fontId="14" fillId="0" borderId="0" xfId="0" applyFont="1"/>
    <xf numFmtId="164" fontId="4" fillId="0" borderId="0" xfId="0" applyNumberFormat="1" applyFont="1"/>
    <xf numFmtId="0" fontId="1" fillId="0" borderId="0" xfId="0" applyFont="1"/>
    <xf numFmtId="0" fontId="0" fillId="0" borderId="0" xfId="0"/>
    <xf numFmtId="0" fontId="15" fillId="0" borderId="0" xfId="0" applyFont="1"/>
    <xf numFmtId="0" fontId="11" fillId="0" borderId="0" xfId="0" applyFont="1"/>
  </cellXfs>
  <cellStyles count="1">
    <cellStyle name="Normal" xfId="0" builtinId="0"/>
  </cellStyles>
  <dxfs count="3">
    <dxf>
      <font>
        <b/>
        <color rgb="FF9C0006"/>
        <name val="Arial"/>
      </font>
      <fill>
        <patternFill patternType="solid">
          <fgColor rgb="FFFFC7CE"/>
        </patternFill>
      </fill>
    </dxf>
    <dxf>
      <font>
        <color rgb="FF006100"/>
        <name val="Arial"/>
      </font>
      <fill>
        <patternFill patternType="solid">
          <fgColor rgb="FFC6EFCE"/>
        </patternFill>
      </fill>
    </dxf>
    <dxf>
      <font>
        <b/>
        <color rgb="FF9C0006"/>
        <name val="Arial"/>
      </font>
      <fill>
        <patternFill patternType="solid">
          <f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4"/>
  <sheetViews>
    <sheetView workbookViewId="0">
      <pane xSplit="1" ySplit="3" topLeftCell="B4" activePane="bottomRight" state="frozen"/>
      <selection pane="topRight"/>
      <selection pane="bottomLeft"/>
      <selection pane="bottomRight" activeCell="P18" sqref="P18"/>
    </sheetView>
  </sheetViews>
  <sheetFormatPr baseColWidth="10" defaultColWidth="8.83203125" defaultRowHeight="15" x14ac:dyDescent="0.2"/>
  <cols>
    <col min="1" max="1" width="34" customWidth="1"/>
    <col min="2" max="16" width="13" customWidth="1"/>
  </cols>
  <sheetData>
    <row r="1" spans="1:16" ht="18" x14ac:dyDescent="0.2">
      <c r="A1" s="44" t="s">
        <v>0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</row>
    <row r="3" spans="1:16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16</v>
      </c>
    </row>
    <row r="4" spans="1:16" x14ac:dyDescent="0.2">
      <c r="A4" s="2" t="s">
        <v>17</v>
      </c>
      <c r="B4" s="3">
        <f>SUMIFS('New Vehicle'!$F$4:$F$53,NV_Month,"Jan")</f>
        <v>140718</v>
      </c>
      <c r="C4" s="3">
        <f>SUMIFS('New Vehicle'!$F$4:$F$53,NV_Month,"Feb")</f>
        <v>171851</v>
      </c>
      <c r="D4" s="3">
        <f>SUMIFS('New Vehicle'!$F$4:$F$53,NV_Month,"Mar")</f>
        <v>137916</v>
      </c>
      <c r="E4" s="3">
        <f>SUMIFS('New Vehicle'!$F$4:$F$53,NV_Month,"Apr")</f>
        <v>221224</v>
      </c>
      <c r="F4" s="3">
        <f>SUMIFS('New Vehicle'!$F$4:$F$53,NV_Month,"May")</f>
        <v>134048</v>
      </c>
      <c r="G4" s="3">
        <f>SUMIFS('New Vehicle'!$F$4:$F$53,NV_Month,"Jun")</f>
        <v>296551</v>
      </c>
      <c r="H4" s="3">
        <f>SUMIFS('New Vehicle'!$F$4:$F$53,NV_Month,"Jul")</f>
        <v>146264</v>
      </c>
      <c r="I4" s="3">
        <f>SUMIFS('New Vehicle'!$F$4:$F$53,NV_Month,"Aug")</f>
        <v>81490</v>
      </c>
      <c r="J4" s="3">
        <f>SUMIFS('New Vehicle'!$F$4:$F$53,NV_Month,"Sep")</f>
        <v>224689</v>
      </c>
      <c r="K4" s="3">
        <f>SUMIFS('New Vehicle'!$F$4:$F$53,NV_Month,"Oct")</f>
        <v>152975</v>
      </c>
      <c r="L4" s="3">
        <f>SUMIFS('New Vehicle'!$F$4:$F$53,NV_Month,"Nov")</f>
        <v>358202</v>
      </c>
      <c r="M4" s="3">
        <f>SUMIFS('New Vehicle'!$F$4:$F$53,NV_Month,"Dec")</f>
        <v>65840</v>
      </c>
      <c r="N4" s="4">
        <f t="shared" ref="N4:N10" si="0">SUM(B4:M4)</f>
        <v>2131768</v>
      </c>
      <c r="O4" s="5">
        <v>26400000</v>
      </c>
      <c r="P4" s="6">
        <f t="shared" ref="P4:P10" si="1">IFERROR((N4-O4)/O4,0)</f>
        <v>-0.91925121212121208</v>
      </c>
    </row>
    <row r="5" spans="1:16" x14ac:dyDescent="0.2">
      <c r="A5" s="2" t="s">
        <v>18</v>
      </c>
      <c r="B5" s="3">
        <f>SUMIFS(UV_SalePrice,UV_Month,"Jan")</f>
        <v>191388</v>
      </c>
      <c r="C5" s="3">
        <f>SUMIFS(UV_SalePrice,UV_Month,"Feb")</f>
        <v>135413</v>
      </c>
      <c r="D5" s="3">
        <f>SUMIFS(UV_SalePrice,UV_Month,"Mar")</f>
        <v>48495</v>
      </c>
      <c r="E5" s="3">
        <f>SUMIFS(UV_SalePrice,UV_Month,"Apr")</f>
        <v>232006</v>
      </c>
      <c r="F5" s="3">
        <f>SUMIFS(UV_SalePrice,UV_Month,"May")</f>
        <v>138771</v>
      </c>
      <c r="G5" s="3">
        <f>SUMIFS(UV_SalePrice,UV_Month,"Jun")</f>
        <v>60321</v>
      </c>
      <c r="H5" s="3">
        <f>SUMIFS(UV_SalePrice,UV_Month,"Jul")</f>
        <v>135241</v>
      </c>
      <c r="I5" s="3">
        <f>SUMIFS(UV_SalePrice,UV_Month,"Aug")</f>
        <v>64884</v>
      </c>
      <c r="J5" s="3">
        <f>SUMIFS(UV_SalePrice,UV_Month,"Sep")</f>
        <v>35598</v>
      </c>
      <c r="K5" s="3">
        <f>SUMIFS(UV_SalePrice,UV_Month,"Oct")</f>
        <v>74899</v>
      </c>
      <c r="L5" s="3">
        <f>SUMIFS(UV_SalePrice,UV_Month,"Nov")</f>
        <v>201306</v>
      </c>
      <c r="M5" s="3">
        <f>SUMIFS(UV_SalePrice,UV_Month,"Dec")</f>
        <v>49781</v>
      </c>
      <c r="N5" s="4">
        <f t="shared" si="0"/>
        <v>1368103</v>
      </c>
      <c r="O5" s="5">
        <v>13200000</v>
      </c>
      <c r="P5" s="6">
        <f t="shared" si="1"/>
        <v>-0.89635583333333335</v>
      </c>
    </row>
    <row r="6" spans="1:16" x14ac:dyDescent="0.2">
      <c r="A6" s="2" t="s">
        <v>19</v>
      </c>
      <c r="B6" s="3">
        <f>SUMIFS(FI_Net_Range,FI_Month_Range,"Jan")</f>
        <v>15810</v>
      </c>
      <c r="C6" s="3">
        <f>SUMIFS(FI_Net_Range,FI_Month_Range,"Feb")</f>
        <v>10467</v>
      </c>
      <c r="D6" s="3">
        <f>SUMIFS(FI_Net_Range,FI_Month_Range,"Mar")</f>
        <v>5503</v>
      </c>
      <c r="E6" s="3">
        <f>SUMIFS(FI_Net_Range,FI_Month_Range,"Apr")</f>
        <v>23206</v>
      </c>
      <c r="F6" s="3">
        <f>SUMIFS(FI_Net_Range,FI_Month_Range,"May")</f>
        <v>15493</v>
      </c>
      <c r="G6" s="3">
        <f>SUMIFS(FI_Net_Range,FI_Month_Range,"Jun")</f>
        <v>17787</v>
      </c>
      <c r="H6" s="3">
        <f>SUMIFS(FI_Net_Range,FI_Month_Range,"Jul")</f>
        <v>12583</v>
      </c>
      <c r="I6" s="3">
        <f>SUMIFS(FI_Net_Range,FI_Month_Range,"Aug")</f>
        <v>5448</v>
      </c>
      <c r="J6" s="3">
        <f>SUMIFS(FI_Net_Range,FI_Month_Range,"Sep")</f>
        <v>14403</v>
      </c>
      <c r="K6" s="3">
        <f>SUMIFS(FI_Net_Range,FI_Month_Range,"Oct")</f>
        <v>15411</v>
      </c>
      <c r="L6" s="3">
        <f>SUMIFS(FI_Net_Range,FI_Month_Range,"Nov")</f>
        <v>35653</v>
      </c>
      <c r="M6" s="3">
        <f>SUMIFS(FI_Net_Range,FI_Month_Range,"Dec")</f>
        <v>7160</v>
      </c>
      <c r="N6" s="4">
        <f t="shared" si="0"/>
        <v>178924</v>
      </c>
      <c r="O6" s="5">
        <v>3000000</v>
      </c>
      <c r="P6" s="6">
        <f t="shared" si="1"/>
        <v>-0.94035866666666668</v>
      </c>
    </row>
    <row r="7" spans="1:16" x14ac:dyDescent="0.2">
      <c r="A7" s="2" t="s">
        <v>20</v>
      </c>
      <c r="B7" s="3">
        <f>SUMIFS(SV_LaborRev,SV_Month,"Jan")</f>
        <v>3096</v>
      </c>
      <c r="C7" s="3">
        <f>SUMIFS(SV_LaborRev,SV_Month,"Feb")</f>
        <v>9095</v>
      </c>
      <c r="D7" s="3">
        <f>SUMIFS(SV_LaborRev,SV_Month,"Mar")</f>
        <v>4238</v>
      </c>
      <c r="E7" s="3">
        <f>SUMIFS(SV_LaborRev,SV_Month,"Apr")</f>
        <v>5704</v>
      </c>
      <c r="F7" s="3">
        <f>SUMIFS(SV_LaborRev,SV_Month,"May")</f>
        <v>5994</v>
      </c>
      <c r="G7" s="3">
        <f>SUMIFS(SV_LaborRev,SV_Month,"Jun")</f>
        <v>8502</v>
      </c>
      <c r="H7" s="3">
        <f>SUMIFS(SV_LaborRev,SV_Month,"Jul")</f>
        <v>7154</v>
      </c>
      <c r="I7" s="3">
        <f>SUMIFS(SV_LaborRev,SV_Month,"Aug")</f>
        <v>4760</v>
      </c>
      <c r="J7" s="3">
        <f>SUMIFS(SV_LaborRev,SV_Month,"Sep")</f>
        <v>8305</v>
      </c>
      <c r="K7" s="3">
        <f>SUMIFS(SV_LaborRev,SV_Month,"Oct")</f>
        <v>6682</v>
      </c>
      <c r="L7" s="3">
        <f>SUMIFS(SV_LaborRev,SV_Month,"Nov")</f>
        <v>6570</v>
      </c>
      <c r="M7" s="3">
        <f>SUMIFS(SV_LaborRev,SV_Month,"Dec")</f>
        <v>8373</v>
      </c>
      <c r="N7" s="4">
        <f t="shared" si="0"/>
        <v>78473</v>
      </c>
      <c r="O7" s="5">
        <v>4200000</v>
      </c>
      <c r="P7" s="6">
        <f t="shared" si="1"/>
        <v>-0.98131595238095237</v>
      </c>
    </row>
    <row r="8" spans="1:16" x14ac:dyDescent="0.2">
      <c r="A8" s="2" t="s">
        <v>21</v>
      </c>
      <c r="B8" s="3">
        <f>SUMIFS(SV_PartsRev,SV_Month,"Jan")</f>
        <v>3148</v>
      </c>
      <c r="C8" s="3">
        <f>SUMIFS(SV_PartsRev,SV_Month,"Feb")</f>
        <v>5641</v>
      </c>
      <c r="D8" s="3">
        <f>SUMIFS(SV_PartsRev,SV_Month,"Mar")</f>
        <v>2584</v>
      </c>
      <c r="E8" s="3">
        <f>SUMIFS(SV_PartsRev,SV_Month,"Apr")</f>
        <v>4414</v>
      </c>
      <c r="F8" s="3">
        <f>SUMIFS(SV_PartsRev,SV_Month,"May")</f>
        <v>3426</v>
      </c>
      <c r="G8" s="3">
        <f>SUMIFS(SV_PartsRev,SV_Month,"Jun")</f>
        <v>6884</v>
      </c>
      <c r="H8" s="3">
        <f>SUMIFS(SV_PartsRev,SV_Month,"Jul")</f>
        <v>5016</v>
      </c>
      <c r="I8" s="3">
        <f>SUMIFS(SV_PartsRev,SV_Month,"Aug")</f>
        <v>2405</v>
      </c>
      <c r="J8" s="3">
        <f>SUMIFS(SV_PartsRev,SV_Month,"Sep")</f>
        <v>6079</v>
      </c>
      <c r="K8" s="3">
        <f>SUMIFS(SV_PartsRev,SV_Month,"Oct")</f>
        <v>4856</v>
      </c>
      <c r="L8" s="3">
        <f>SUMIFS(SV_PartsRev,SV_Month,"Nov")</f>
        <v>6142</v>
      </c>
      <c r="M8" s="3">
        <f>SUMIFS(SV_PartsRev,SV_Month,"Dec")</f>
        <v>7283</v>
      </c>
      <c r="N8" s="4">
        <f t="shared" si="0"/>
        <v>57878</v>
      </c>
      <c r="O8" s="5">
        <v>3000000</v>
      </c>
      <c r="P8" s="6">
        <f t="shared" si="1"/>
        <v>-0.98070733333333338</v>
      </c>
    </row>
    <row r="9" spans="1:16" x14ac:dyDescent="0.2">
      <c r="A9" s="2" t="s">
        <v>22</v>
      </c>
      <c r="B9" s="7">
        <f t="shared" ref="B9:M9" si="2">B7*0.45</f>
        <v>1393.2</v>
      </c>
      <c r="C9" s="7">
        <f t="shared" si="2"/>
        <v>4092.75</v>
      </c>
      <c r="D9" s="7">
        <f t="shared" si="2"/>
        <v>1907.1000000000001</v>
      </c>
      <c r="E9" s="7">
        <f t="shared" si="2"/>
        <v>2566.8000000000002</v>
      </c>
      <c r="F9" s="7">
        <f t="shared" si="2"/>
        <v>2697.3</v>
      </c>
      <c r="G9" s="7">
        <f t="shared" si="2"/>
        <v>3825.9</v>
      </c>
      <c r="H9" s="7">
        <f t="shared" si="2"/>
        <v>3219.3</v>
      </c>
      <c r="I9" s="7">
        <f t="shared" si="2"/>
        <v>2142</v>
      </c>
      <c r="J9" s="7">
        <f t="shared" si="2"/>
        <v>3737.25</v>
      </c>
      <c r="K9" s="7">
        <f t="shared" si="2"/>
        <v>3006.9</v>
      </c>
      <c r="L9" s="7">
        <f t="shared" si="2"/>
        <v>2956.5</v>
      </c>
      <c r="M9" s="7">
        <f t="shared" si="2"/>
        <v>3767.85</v>
      </c>
      <c r="N9" s="4">
        <f t="shared" si="0"/>
        <v>35312.850000000006</v>
      </c>
      <c r="O9" s="5">
        <v>1800000</v>
      </c>
      <c r="P9" s="6">
        <f t="shared" si="1"/>
        <v>-0.98038174999999994</v>
      </c>
    </row>
    <row r="10" spans="1:16" x14ac:dyDescent="0.2">
      <c r="A10" s="8" t="s">
        <v>23</v>
      </c>
      <c r="B10" s="9">
        <f t="shared" ref="B10:M10" si="3">SUM(B4:B9)</f>
        <v>355553.2</v>
      </c>
      <c r="C10" s="9">
        <f t="shared" si="3"/>
        <v>336559.75</v>
      </c>
      <c r="D10" s="9">
        <f t="shared" si="3"/>
        <v>200643.1</v>
      </c>
      <c r="E10" s="9">
        <f t="shared" si="3"/>
        <v>489120.8</v>
      </c>
      <c r="F10" s="9">
        <f t="shared" si="3"/>
        <v>300429.3</v>
      </c>
      <c r="G10" s="9">
        <f t="shared" si="3"/>
        <v>393870.9</v>
      </c>
      <c r="H10" s="9">
        <f t="shared" si="3"/>
        <v>309477.3</v>
      </c>
      <c r="I10" s="9">
        <f t="shared" si="3"/>
        <v>161129</v>
      </c>
      <c r="J10" s="9">
        <f t="shared" si="3"/>
        <v>292811.25</v>
      </c>
      <c r="K10" s="9">
        <f t="shared" si="3"/>
        <v>257829.9</v>
      </c>
      <c r="L10" s="9">
        <f t="shared" si="3"/>
        <v>610829.5</v>
      </c>
      <c r="M10" s="9">
        <f t="shared" si="3"/>
        <v>142204.85</v>
      </c>
      <c r="N10" s="4">
        <f t="shared" si="0"/>
        <v>3850458.8499999996</v>
      </c>
      <c r="O10" s="4">
        <f>SUM(O4:O9)</f>
        <v>51600000</v>
      </c>
      <c r="P10" s="6">
        <f t="shared" si="1"/>
        <v>-0.92537870445736436</v>
      </c>
    </row>
    <row r="12" spans="1:16" x14ac:dyDescent="0.2">
      <c r="A12" s="10" t="s">
        <v>24</v>
      </c>
    </row>
    <row r="13" spans="1:16" x14ac:dyDescent="0.2">
      <c r="A13" s="2" t="s">
        <v>25</v>
      </c>
      <c r="B13" s="3">
        <f>SUMIFS(NV_FrontGross,NV_Month,"Jan")</f>
        <v>19533.288</v>
      </c>
      <c r="C13" s="3">
        <f>SUMIFS(NV_FrontGross,NV_Month,"Feb")</f>
        <v>23133.986000000001</v>
      </c>
      <c r="D13" s="3">
        <f>SUMIFS(NV_FrontGross,NV_Month,"Mar")</f>
        <v>15878.412</v>
      </c>
      <c r="E13" s="3">
        <f>SUMIFS(NV_FrontGross,NV_Month,"Apr")</f>
        <v>29644.457999999999</v>
      </c>
      <c r="F13" s="3">
        <f>SUMIFS(NV_FrontGross,NV_Month,"May")</f>
        <v>16959.896000000001</v>
      </c>
      <c r="G13" s="3">
        <f>SUMIFS(NV_FrontGross,NV_Month,"Jun")</f>
        <v>42096.898000000001</v>
      </c>
      <c r="H13" s="3">
        <f>SUMIFS(NV_FrontGross,NV_Month,"Jul")</f>
        <v>20344.018</v>
      </c>
      <c r="I13" s="3">
        <f>SUMIFS(NV_FrontGross,NV_Month,"Aug")</f>
        <v>10546.609</v>
      </c>
      <c r="J13" s="3">
        <f>SUMIFS(NV_FrontGross,NV_Month,"Sep")</f>
        <v>27252.639999999999</v>
      </c>
      <c r="K13" s="3">
        <f>SUMIFS(NV_FrontGross,NV_Month,"Oct")</f>
        <v>21054.925999999999</v>
      </c>
      <c r="L13" s="3">
        <f>SUMIFS(NV_FrontGross,NV_Month,"Nov")</f>
        <v>46756.887999999999</v>
      </c>
      <c r="M13" s="3">
        <f>SUMIFS(NV_FrontGross,NV_Month,"Dec")</f>
        <v>9483.014000000001</v>
      </c>
      <c r="N13" s="4">
        <f t="shared" ref="N13:N18" si="4">SUM(B13:M13)</f>
        <v>282685.03300000005</v>
      </c>
    </row>
    <row r="14" spans="1:16" x14ac:dyDescent="0.2">
      <c r="A14" s="2" t="s">
        <v>26</v>
      </c>
      <c r="B14" s="3">
        <f>SUMIFS(UV_AdjGross,UV_Month,"Jan")</f>
        <v>29369.724454794523</v>
      </c>
      <c r="C14" s="3">
        <f>SUMIFS(UV_AdjGross,UV_Month,"Feb")</f>
        <v>25965.146933082193</v>
      </c>
      <c r="D14" s="3">
        <f>SUMIFS(UV_AdjGross,UV_Month,"Mar")</f>
        <v>8216.5543208219187</v>
      </c>
      <c r="E14" s="3">
        <f>SUMIFS(UV_AdjGross,UV_Month,"Apr")</f>
        <v>40198.997825273975</v>
      </c>
      <c r="F14" s="3">
        <f>SUMIFS(UV_AdjGross,UV_Month,"May")</f>
        <v>19803.285312260276</v>
      </c>
      <c r="G14" s="3">
        <f>SUMIFS(UV_AdjGross,UV_Month,"Jun")</f>
        <v>14378.614696712328</v>
      </c>
      <c r="H14" s="3">
        <f>SUMIFS(UV_AdjGross,UV_Month,"Jul")</f>
        <v>25049.907829315067</v>
      </c>
      <c r="I14" s="3">
        <f>SUMIFS(UV_AdjGross,UV_Month,"Aug")</f>
        <v>13624.264247191781</v>
      </c>
      <c r="J14" s="3">
        <f>SUMIFS(UV_AdjGross,UV_Month,"Sep")</f>
        <v>6857.3846883561646</v>
      </c>
      <c r="K14" s="3">
        <f>SUMIFS(UV_AdjGross,UV_Month,"Oct")</f>
        <v>14607.420735684931</v>
      </c>
      <c r="L14" s="3">
        <f>SUMIFS(UV_AdjGross,UV_Month,"Nov")</f>
        <v>29895.768448630137</v>
      </c>
      <c r="M14" s="3">
        <f>SUMIFS(UV_AdjGross,UV_Month,"Dec")</f>
        <v>6498.9281556164387</v>
      </c>
      <c r="N14" s="4">
        <f t="shared" si="4"/>
        <v>234465.99764773971</v>
      </c>
    </row>
    <row r="15" spans="1:16" x14ac:dyDescent="0.2">
      <c r="A15" s="2" t="s">
        <v>27</v>
      </c>
      <c r="B15" s="3">
        <f>SUMIFS(FI_Net_Range,FI_Month_Range,"Jan")</f>
        <v>15810</v>
      </c>
      <c r="C15" s="3">
        <f>SUMIFS(FI_Net_Range,FI_Month_Range,"Feb")</f>
        <v>10467</v>
      </c>
      <c r="D15" s="3">
        <f>SUMIFS(FI_Net_Range,FI_Month_Range,"Mar")</f>
        <v>5503</v>
      </c>
      <c r="E15" s="3">
        <f>SUMIFS(FI_Net_Range,FI_Month_Range,"Apr")</f>
        <v>23206</v>
      </c>
      <c r="F15" s="3">
        <f>SUMIFS(FI_Net_Range,FI_Month_Range,"May")</f>
        <v>15493</v>
      </c>
      <c r="G15" s="3">
        <f>SUMIFS(FI_Net_Range,FI_Month_Range,"Jun")</f>
        <v>17787</v>
      </c>
      <c r="H15" s="3">
        <f>SUMIFS(FI_Net_Range,FI_Month_Range,"Jul")</f>
        <v>12583</v>
      </c>
      <c r="I15" s="3">
        <f>SUMIFS(FI_Net_Range,FI_Month_Range,"Aug")</f>
        <v>5448</v>
      </c>
      <c r="J15" s="3">
        <f>SUMIFS(FI_Net_Range,FI_Month_Range,"Sep")</f>
        <v>14403</v>
      </c>
      <c r="K15" s="3">
        <f>SUMIFS(FI_Net_Range,FI_Month_Range,"Oct")</f>
        <v>15411</v>
      </c>
      <c r="L15" s="3">
        <f>SUMIFS(FI_Net_Range,FI_Month_Range,"Nov")</f>
        <v>35653</v>
      </c>
      <c r="M15" s="3">
        <f>SUMIFS(FI_Net_Range,FI_Month_Range,"Dec")</f>
        <v>7160</v>
      </c>
      <c r="N15" s="4">
        <f t="shared" si="4"/>
        <v>178924</v>
      </c>
    </row>
    <row r="16" spans="1:16" x14ac:dyDescent="0.2">
      <c r="A16" s="2" t="s">
        <v>28</v>
      </c>
      <c r="B16" s="3">
        <f>SUMIFS(SV_TotGross,SV_Month,"Jan")</f>
        <v>3090</v>
      </c>
      <c r="C16" s="3">
        <f>SUMIFS(SV_TotGross,SV_Month,"Feb")</f>
        <v>7516</v>
      </c>
      <c r="D16" s="3">
        <f>SUMIFS(SV_TotGross,SV_Month,"Mar")</f>
        <v>3491</v>
      </c>
      <c r="E16" s="3">
        <f>SUMIFS(SV_TotGross,SV_Month,"Apr")</f>
        <v>4997</v>
      </c>
      <c r="F16" s="3">
        <f>SUMIFS(SV_TotGross,SV_Month,"May")</f>
        <v>5087</v>
      </c>
      <c r="G16" s="3">
        <f>SUMIFS(SV_TotGross,SV_Month,"Jun")</f>
        <v>7779</v>
      </c>
      <c r="H16" s="3">
        <f>SUMIFS(SV_TotGross,SV_Month,"Jul")</f>
        <v>5980</v>
      </c>
      <c r="I16" s="3">
        <f>SUMIFS(SV_TotGross,SV_Month,"Aug")</f>
        <v>3677</v>
      </c>
      <c r="J16" s="3">
        <f>SUMIFS(SV_TotGross,SV_Month,"Sep")</f>
        <v>7264</v>
      </c>
      <c r="K16" s="3">
        <f>SUMIFS(SV_TotGross,SV_Month,"Oct")</f>
        <v>5711</v>
      </c>
      <c r="L16" s="3">
        <f>SUMIFS(SV_TotGross,SV_Month,"Nov")</f>
        <v>6363</v>
      </c>
      <c r="M16" s="3">
        <f>SUMIFS(SV_TotGross,SV_Month,"Dec")</f>
        <v>7786</v>
      </c>
      <c r="N16" s="4">
        <f t="shared" si="4"/>
        <v>68741</v>
      </c>
    </row>
    <row r="17" spans="1:16" x14ac:dyDescent="0.2">
      <c r="A17" s="2" t="s">
        <v>29</v>
      </c>
      <c r="B17" s="7">
        <f t="shared" ref="B17:M17" si="5">B9*0.5</f>
        <v>696.6</v>
      </c>
      <c r="C17" s="7">
        <f t="shared" si="5"/>
        <v>2046.375</v>
      </c>
      <c r="D17" s="7">
        <f t="shared" si="5"/>
        <v>953.55000000000007</v>
      </c>
      <c r="E17" s="7">
        <f t="shared" si="5"/>
        <v>1283.4000000000001</v>
      </c>
      <c r="F17" s="7">
        <f t="shared" si="5"/>
        <v>1348.65</v>
      </c>
      <c r="G17" s="7">
        <f t="shared" si="5"/>
        <v>1912.95</v>
      </c>
      <c r="H17" s="7">
        <f t="shared" si="5"/>
        <v>1609.65</v>
      </c>
      <c r="I17" s="7">
        <f t="shared" si="5"/>
        <v>1071</v>
      </c>
      <c r="J17" s="7">
        <f t="shared" si="5"/>
        <v>1868.625</v>
      </c>
      <c r="K17" s="7">
        <f t="shared" si="5"/>
        <v>1503.45</v>
      </c>
      <c r="L17" s="7">
        <f t="shared" si="5"/>
        <v>1478.25</v>
      </c>
      <c r="M17" s="7">
        <f t="shared" si="5"/>
        <v>1883.925</v>
      </c>
      <c r="N17" s="4">
        <f t="shared" si="4"/>
        <v>17656.425000000003</v>
      </c>
    </row>
    <row r="18" spans="1:16" x14ac:dyDescent="0.2">
      <c r="A18" s="8" t="s">
        <v>30</v>
      </c>
      <c r="B18" s="9">
        <f t="shared" ref="B18:M18" si="6">SUM(B13:B17)</f>
        <v>68499.612454794522</v>
      </c>
      <c r="C18" s="9">
        <f t="shared" si="6"/>
        <v>69128.50793308219</v>
      </c>
      <c r="D18" s="9">
        <f t="shared" si="6"/>
        <v>34042.516320821924</v>
      </c>
      <c r="E18" s="9">
        <f t="shared" si="6"/>
        <v>99329.85582527396</v>
      </c>
      <c r="F18" s="9">
        <f t="shared" si="6"/>
        <v>58691.831312260278</v>
      </c>
      <c r="G18" s="9">
        <f t="shared" si="6"/>
        <v>83954.462696712333</v>
      </c>
      <c r="H18" s="9">
        <f t="shared" si="6"/>
        <v>65566.575829315057</v>
      </c>
      <c r="I18" s="9">
        <f t="shared" si="6"/>
        <v>34366.873247191783</v>
      </c>
      <c r="J18" s="9">
        <f t="shared" si="6"/>
        <v>57645.649688356163</v>
      </c>
      <c r="K18" s="9">
        <f t="shared" si="6"/>
        <v>58287.796735684926</v>
      </c>
      <c r="L18" s="9">
        <f t="shared" si="6"/>
        <v>120146.90644863014</v>
      </c>
      <c r="M18" s="9">
        <f t="shared" si="6"/>
        <v>32811.867155616441</v>
      </c>
      <c r="N18" s="4">
        <f t="shared" si="4"/>
        <v>782472.45564773981</v>
      </c>
      <c r="O18" s="5">
        <f>O10*0.15</f>
        <v>7740000</v>
      </c>
      <c r="P18" s="6">
        <f>IFERROR((N18-O18)/O18,0)</f>
        <v>-0.89890536748737215</v>
      </c>
    </row>
    <row r="19" spans="1:16" x14ac:dyDescent="0.2">
      <c r="A19" s="11" t="s">
        <v>31</v>
      </c>
      <c r="B19" s="6">
        <f t="shared" ref="B19:N19" si="7">IFERROR(B18/B10,0)</f>
        <v>0.19265643637800059</v>
      </c>
      <c r="C19" s="6">
        <f t="shared" si="7"/>
        <v>0.20539743071796968</v>
      </c>
      <c r="D19" s="6">
        <f t="shared" si="7"/>
        <v>0.16966701730994946</v>
      </c>
      <c r="E19" s="6">
        <f t="shared" si="7"/>
        <v>0.20307837210209412</v>
      </c>
      <c r="F19" s="6">
        <f t="shared" si="7"/>
        <v>0.19535987772251334</v>
      </c>
      <c r="G19" s="6">
        <f t="shared" si="7"/>
        <v>0.21315223515297102</v>
      </c>
      <c r="H19" s="6">
        <f t="shared" si="7"/>
        <v>0.21186231051296836</v>
      </c>
      <c r="I19" s="6">
        <f t="shared" si="7"/>
        <v>0.21328794473491292</v>
      </c>
      <c r="J19" s="6">
        <f t="shared" si="7"/>
        <v>0.19686965472930484</v>
      </c>
      <c r="K19" s="6">
        <f t="shared" si="7"/>
        <v>0.2260707417397475</v>
      </c>
      <c r="L19" s="6">
        <f t="shared" si="7"/>
        <v>0.19669466921396256</v>
      </c>
      <c r="M19" s="6">
        <f t="shared" si="7"/>
        <v>0.23073662505615272</v>
      </c>
      <c r="N19" s="12">
        <f t="shared" si="7"/>
        <v>0.20321537929115641</v>
      </c>
    </row>
    <row r="21" spans="1:16" x14ac:dyDescent="0.2">
      <c r="A21" s="10" t="s">
        <v>32</v>
      </c>
    </row>
    <row r="22" spans="1:16" x14ac:dyDescent="0.2">
      <c r="A22" s="2" t="s">
        <v>33</v>
      </c>
      <c r="B22" s="3">
        <f>SUMIFS(NV_TotalComp,NV_Month,"Jan")+B10*0.05</f>
        <v>18544.27246</v>
      </c>
      <c r="C22" s="3">
        <f>SUMIFS(NV_TotalComp,NV_Month,"Feb")+C10*0.05</f>
        <v>17806.566849999999</v>
      </c>
      <c r="D22" s="3">
        <f>SUMIFS(NV_TotalComp,NV_Month,"Mar")+D10*0.05</f>
        <v>10826.0756</v>
      </c>
      <c r="E22" s="3">
        <f>SUMIFS(NV_TotalComp,NV_Month,"Apr")+E10*0.05</f>
        <v>26086.485189999999</v>
      </c>
      <c r="F22" s="3">
        <f>SUMIFS(NV_TotalComp,NV_Month,"May")+F10*0.05</f>
        <v>15737.231320000001</v>
      </c>
      <c r="G22" s="3">
        <f>SUMIFS(NV_TotalComp,NV_Month,"Jun")+G10*0.05</f>
        <v>22385.798650000004</v>
      </c>
      <c r="H22" s="3">
        <f>SUMIFS(NV_TotalComp,NV_Month,"Jul")+H10*0.05</f>
        <v>16756.44526</v>
      </c>
      <c r="I22" s="3">
        <f>SUMIFS(NV_TotalComp,NV_Month,"Aug")+I10*0.05</f>
        <v>8267.3821800000005</v>
      </c>
      <c r="J22" s="3">
        <f>SUMIFS(NV_TotalComp,NV_Month,"Sep")+J10*0.05</f>
        <v>16067.189679999999</v>
      </c>
      <c r="K22" s="3">
        <f>SUMIFS(NV_TotalComp,NV_Month,"Oct")+K10*0.05</f>
        <v>13455.8994</v>
      </c>
      <c r="L22" s="3">
        <f>SUMIFS(NV_TotalComp,NV_Month,"Nov")+L10*0.05</f>
        <v>33137.695340000006</v>
      </c>
      <c r="M22" s="3">
        <f>SUMIFS(NV_TotalComp,NV_Month,"Dec")+M10*0.05</f>
        <v>7299.9027800000003</v>
      </c>
      <c r="N22" s="4">
        <f>SUM(B22:M22)</f>
        <v>206370.94471000004</v>
      </c>
    </row>
    <row r="23" spans="1:16" x14ac:dyDescent="0.2">
      <c r="A23" s="2" t="s">
        <v>34</v>
      </c>
      <c r="B23" s="7">
        <f t="shared" ref="B23:M23" si="8">B10*0.012</f>
        <v>4266.6383999999998</v>
      </c>
      <c r="C23" s="7">
        <f t="shared" si="8"/>
        <v>4038.7170000000001</v>
      </c>
      <c r="D23" s="7">
        <f t="shared" si="8"/>
        <v>2407.7172</v>
      </c>
      <c r="E23" s="7">
        <f t="shared" si="8"/>
        <v>5869.4495999999999</v>
      </c>
      <c r="F23" s="7">
        <f t="shared" si="8"/>
        <v>3605.1516000000001</v>
      </c>
      <c r="G23" s="7">
        <f t="shared" si="8"/>
        <v>4726.4508000000005</v>
      </c>
      <c r="H23" s="7">
        <f t="shared" si="8"/>
        <v>3713.7275999999997</v>
      </c>
      <c r="I23" s="7">
        <f t="shared" si="8"/>
        <v>1933.548</v>
      </c>
      <c r="J23" s="7">
        <f t="shared" si="8"/>
        <v>3513.7350000000001</v>
      </c>
      <c r="K23" s="7">
        <f t="shared" si="8"/>
        <v>3093.9587999999999</v>
      </c>
      <c r="L23" s="7">
        <f t="shared" si="8"/>
        <v>7329.9539999999997</v>
      </c>
      <c r="M23" s="7">
        <f t="shared" si="8"/>
        <v>1706.4582</v>
      </c>
      <c r="N23" s="4">
        <f>SUM(B23:M23)</f>
        <v>46205.506199999996</v>
      </c>
    </row>
    <row r="24" spans="1:16" x14ac:dyDescent="0.2">
      <c r="A24" s="2" t="s">
        <v>35</v>
      </c>
      <c r="B24" s="7">
        <f t="shared" ref="B24:M24" si="9">B10*0.015</f>
        <v>5333.2979999999998</v>
      </c>
      <c r="C24" s="7">
        <f t="shared" si="9"/>
        <v>5048.3962499999998</v>
      </c>
      <c r="D24" s="7">
        <f t="shared" si="9"/>
        <v>3009.6464999999998</v>
      </c>
      <c r="E24" s="7">
        <f t="shared" si="9"/>
        <v>7336.8119999999999</v>
      </c>
      <c r="F24" s="7">
        <f t="shared" si="9"/>
        <v>4506.4394999999995</v>
      </c>
      <c r="G24" s="7">
        <f t="shared" si="9"/>
        <v>5908.0635000000002</v>
      </c>
      <c r="H24" s="7">
        <f t="shared" si="9"/>
        <v>4642.1594999999998</v>
      </c>
      <c r="I24" s="7">
        <f t="shared" si="9"/>
        <v>2416.9349999999999</v>
      </c>
      <c r="J24" s="7">
        <f t="shared" si="9"/>
        <v>4392.1687499999998</v>
      </c>
      <c r="K24" s="7">
        <f t="shared" si="9"/>
        <v>3867.4485</v>
      </c>
      <c r="L24" s="7">
        <f t="shared" si="9"/>
        <v>9162.4424999999992</v>
      </c>
      <c r="M24" s="7">
        <f t="shared" si="9"/>
        <v>2133.0727499999998</v>
      </c>
      <c r="N24" s="4">
        <f>SUM(B24:M24)</f>
        <v>57756.88274999999</v>
      </c>
    </row>
    <row r="25" spans="1:16" x14ac:dyDescent="0.2">
      <c r="A25" s="8" t="s">
        <v>36</v>
      </c>
      <c r="B25" s="9">
        <f t="shared" ref="B25:M25" si="10">SUM(B22:B24)</f>
        <v>28144.208859999999</v>
      </c>
      <c r="C25" s="9">
        <f t="shared" si="10"/>
        <v>26893.680099999998</v>
      </c>
      <c r="D25" s="9">
        <f t="shared" si="10"/>
        <v>16243.439299999998</v>
      </c>
      <c r="E25" s="9">
        <f t="shared" si="10"/>
        <v>39292.746789999997</v>
      </c>
      <c r="F25" s="9">
        <f t="shared" si="10"/>
        <v>23848.82242</v>
      </c>
      <c r="G25" s="9">
        <f t="shared" si="10"/>
        <v>33020.312950000007</v>
      </c>
      <c r="H25" s="9">
        <f t="shared" si="10"/>
        <v>25112.33236</v>
      </c>
      <c r="I25" s="9">
        <f t="shared" si="10"/>
        <v>12617.865180000001</v>
      </c>
      <c r="J25" s="9">
        <f t="shared" si="10"/>
        <v>23973.093430000001</v>
      </c>
      <c r="K25" s="9">
        <f t="shared" si="10"/>
        <v>20417.306699999997</v>
      </c>
      <c r="L25" s="9">
        <f t="shared" si="10"/>
        <v>49630.091840000001</v>
      </c>
      <c r="M25" s="9">
        <f t="shared" si="10"/>
        <v>11139.433730000001</v>
      </c>
      <c r="N25" s="4">
        <f>SUM(B25:M25)</f>
        <v>310333.33366</v>
      </c>
    </row>
    <row r="27" spans="1:16" x14ac:dyDescent="0.2">
      <c r="A27" s="2" t="s">
        <v>37</v>
      </c>
      <c r="B27" s="7">
        <f t="shared" ref="B27:M27" si="11">B18-B25</f>
        <v>40355.403594794523</v>
      </c>
      <c r="C27" s="7">
        <f t="shared" si="11"/>
        <v>42234.827833082192</v>
      </c>
      <c r="D27" s="7">
        <f t="shared" si="11"/>
        <v>17799.077020821926</v>
      </c>
      <c r="E27" s="7">
        <f t="shared" si="11"/>
        <v>60037.109035273963</v>
      </c>
      <c r="F27" s="7">
        <f t="shared" si="11"/>
        <v>34843.008892260274</v>
      </c>
      <c r="G27" s="7">
        <f t="shared" si="11"/>
        <v>50934.149746712326</v>
      </c>
      <c r="H27" s="7">
        <f t="shared" si="11"/>
        <v>40454.243469315057</v>
      </c>
      <c r="I27" s="7">
        <f t="shared" si="11"/>
        <v>21749.008067191782</v>
      </c>
      <c r="J27" s="7">
        <f t="shared" si="11"/>
        <v>33672.556258356162</v>
      </c>
      <c r="K27" s="7">
        <f t="shared" si="11"/>
        <v>37870.490035684925</v>
      </c>
      <c r="L27" s="7">
        <f t="shared" si="11"/>
        <v>70516.814608630142</v>
      </c>
      <c r="M27" s="7">
        <f t="shared" si="11"/>
        <v>21672.43342561644</v>
      </c>
      <c r="N27" s="4">
        <f>SUM(B27:M27)</f>
        <v>472139.12198773975</v>
      </c>
    </row>
    <row r="29" spans="1:16" x14ac:dyDescent="0.2">
      <c r="A29" s="10" t="s">
        <v>38</v>
      </c>
    </row>
    <row r="30" spans="1:16" x14ac:dyDescent="0.2">
      <c r="A30" s="2" t="s">
        <v>39</v>
      </c>
      <c r="B30" s="7">
        <f t="shared" ref="B30:M30" si="12">B10*0.02</f>
        <v>7111.0640000000003</v>
      </c>
      <c r="C30" s="7">
        <f t="shared" si="12"/>
        <v>6731.1949999999997</v>
      </c>
      <c r="D30" s="7">
        <f t="shared" si="12"/>
        <v>4012.8620000000001</v>
      </c>
      <c r="E30" s="7">
        <f t="shared" si="12"/>
        <v>9782.4159999999993</v>
      </c>
      <c r="F30" s="7">
        <f t="shared" si="12"/>
        <v>6008.5860000000002</v>
      </c>
      <c r="G30" s="7">
        <f t="shared" si="12"/>
        <v>7877.4180000000006</v>
      </c>
      <c r="H30" s="7">
        <f t="shared" si="12"/>
        <v>6189.5460000000003</v>
      </c>
      <c r="I30" s="7">
        <f t="shared" si="12"/>
        <v>3222.58</v>
      </c>
      <c r="J30" s="7">
        <f t="shared" si="12"/>
        <v>5856.2250000000004</v>
      </c>
      <c r="K30" s="7">
        <f t="shared" si="12"/>
        <v>5156.598</v>
      </c>
      <c r="L30" s="7">
        <f t="shared" si="12"/>
        <v>12216.59</v>
      </c>
      <c r="M30" s="7">
        <f t="shared" si="12"/>
        <v>2844.0970000000002</v>
      </c>
      <c r="N30" s="4">
        <f>SUM(B30:M30)</f>
        <v>77009.176999999996</v>
      </c>
    </row>
    <row r="31" spans="1:16" x14ac:dyDescent="0.2">
      <c r="A31" s="2" t="s">
        <v>40</v>
      </c>
      <c r="B31" s="3">
        <f t="shared" ref="B31:M31" si="13">IF(AbsorptionRate&gt;ServiceAbsorptionTarget,(AbsorptionRate-ServiceAbsorptionTarget)*B10*AbsorptionBonusRate,0)</f>
        <v>0</v>
      </c>
      <c r="C31" s="3">
        <f t="shared" si="13"/>
        <v>0</v>
      </c>
      <c r="D31" s="3">
        <f t="shared" si="13"/>
        <v>0</v>
      </c>
      <c r="E31" s="3">
        <f t="shared" si="13"/>
        <v>0</v>
      </c>
      <c r="F31" s="3">
        <f t="shared" si="13"/>
        <v>0</v>
      </c>
      <c r="G31" s="3">
        <f t="shared" si="13"/>
        <v>0</v>
      </c>
      <c r="H31" s="3">
        <f t="shared" si="13"/>
        <v>0</v>
      </c>
      <c r="I31" s="3">
        <f t="shared" si="13"/>
        <v>0</v>
      </c>
      <c r="J31" s="3">
        <f t="shared" si="13"/>
        <v>0</v>
      </c>
      <c r="K31" s="3">
        <f t="shared" si="13"/>
        <v>0</v>
      </c>
      <c r="L31" s="3">
        <f t="shared" si="13"/>
        <v>0</v>
      </c>
      <c r="M31" s="3">
        <f t="shared" si="13"/>
        <v>0</v>
      </c>
      <c r="N31" s="4">
        <f>SUM(B31:M31)</f>
        <v>0</v>
      </c>
    </row>
    <row r="32" spans="1:16" ht="16" x14ac:dyDescent="0.2">
      <c r="A32" s="13" t="s">
        <v>41</v>
      </c>
      <c r="B32" s="14">
        <f t="shared" ref="B32:M32" si="14">B18-B25+B30+B31</f>
        <v>47466.467594794522</v>
      </c>
      <c r="C32" s="14">
        <f t="shared" si="14"/>
        <v>48966.022833082192</v>
      </c>
      <c r="D32" s="14">
        <f t="shared" si="14"/>
        <v>21811.939020821927</v>
      </c>
      <c r="E32" s="14">
        <f t="shared" si="14"/>
        <v>69819.525035273968</v>
      </c>
      <c r="F32" s="14">
        <f t="shared" si="14"/>
        <v>40851.594892260277</v>
      </c>
      <c r="G32" s="14">
        <f t="shared" si="14"/>
        <v>58811.567746712324</v>
      </c>
      <c r="H32" s="14">
        <f t="shared" si="14"/>
        <v>46643.789469315059</v>
      </c>
      <c r="I32" s="14">
        <f t="shared" si="14"/>
        <v>24971.588067191784</v>
      </c>
      <c r="J32" s="14">
        <f t="shared" si="14"/>
        <v>39528.781258356161</v>
      </c>
      <c r="K32" s="14">
        <f t="shared" si="14"/>
        <v>43027.088035684923</v>
      </c>
      <c r="L32" s="14">
        <f t="shared" si="14"/>
        <v>82733.404608630139</v>
      </c>
      <c r="M32" s="14">
        <f t="shared" si="14"/>
        <v>24516.530425616442</v>
      </c>
      <c r="N32" s="4">
        <f>SUM(B32:M32)</f>
        <v>549148.2989877396</v>
      </c>
      <c r="O32" s="5">
        <f>O10*0.065</f>
        <v>3354000</v>
      </c>
      <c r="P32" s="6">
        <f>IFERROR((N32-O32)/O32,0)</f>
        <v>-0.83627063238290411</v>
      </c>
    </row>
    <row r="33" spans="1:16" x14ac:dyDescent="0.2">
      <c r="A33" s="11" t="s">
        <v>42</v>
      </c>
      <c r="B33" s="6">
        <f t="shared" ref="B33:N33" si="15">IFERROR(B32/B10,0)</f>
        <v>0.13350032455000974</v>
      </c>
      <c r="C33" s="6">
        <f t="shared" si="15"/>
        <v>0.14548983600410387</v>
      </c>
      <c r="D33" s="6">
        <f t="shared" si="15"/>
        <v>0.10871013765647523</v>
      </c>
      <c r="E33" s="6">
        <f t="shared" si="15"/>
        <v>0.14274495183045571</v>
      </c>
      <c r="F33" s="6">
        <f t="shared" si="15"/>
        <v>0.13597739931578004</v>
      </c>
      <c r="G33" s="6">
        <f t="shared" si="15"/>
        <v>0.14931686434999977</v>
      </c>
      <c r="H33" s="6">
        <f t="shared" si="15"/>
        <v>0.15071796693752679</v>
      </c>
      <c r="I33" s="6">
        <f t="shared" si="15"/>
        <v>0.15497885586822846</v>
      </c>
      <c r="J33" s="6">
        <f t="shared" si="15"/>
        <v>0.13499748134115805</v>
      </c>
      <c r="K33" s="6">
        <f t="shared" si="15"/>
        <v>0.16688168453575369</v>
      </c>
      <c r="L33" s="6">
        <f t="shared" si="15"/>
        <v>0.1354443500332419</v>
      </c>
      <c r="M33" s="6">
        <f t="shared" si="15"/>
        <v>0.17240291330159585</v>
      </c>
      <c r="N33" s="12">
        <f t="shared" si="15"/>
        <v>0.14261892423230016</v>
      </c>
    </row>
    <row r="34" spans="1:16" x14ac:dyDescent="0.2">
      <c r="A34" s="2" t="s">
        <v>43</v>
      </c>
      <c r="B34" s="3">
        <f t="shared" ref="B34:M34" si="16">MAX(B32*TaxRate,0)</f>
        <v>9967.9581949068488</v>
      </c>
      <c r="C34" s="3">
        <f t="shared" si="16"/>
        <v>10282.86479494726</v>
      </c>
      <c r="D34" s="3">
        <f t="shared" si="16"/>
        <v>4580.5071943726043</v>
      </c>
      <c r="E34" s="3">
        <f t="shared" si="16"/>
        <v>14662.100257407532</v>
      </c>
      <c r="F34" s="3">
        <f t="shared" si="16"/>
        <v>8578.8349273746571</v>
      </c>
      <c r="G34" s="3">
        <f t="shared" si="16"/>
        <v>12350.429226809587</v>
      </c>
      <c r="H34" s="3">
        <f t="shared" si="16"/>
        <v>9795.1957885561624</v>
      </c>
      <c r="I34" s="3">
        <f t="shared" si="16"/>
        <v>5244.0334941102747</v>
      </c>
      <c r="J34" s="3">
        <f t="shared" si="16"/>
        <v>8301.0440642547928</v>
      </c>
      <c r="K34" s="3">
        <f t="shared" si="16"/>
        <v>9035.6884874938332</v>
      </c>
      <c r="L34" s="3">
        <f t="shared" si="16"/>
        <v>17374.014967812327</v>
      </c>
      <c r="M34" s="3">
        <f t="shared" si="16"/>
        <v>5148.4713893794524</v>
      </c>
      <c r="N34" s="4">
        <f>SUM(B34:M34)</f>
        <v>115321.14278742534</v>
      </c>
    </row>
    <row r="35" spans="1:16" ht="16" x14ac:dyDescent="0.2">
      <c r="A35" s="15" t="s">
        <v>44</v>
      </c>
      <c r="B35" s="14">
        <f t="shared" ref="B35:M35" si="17">B32-B34</f>
        <v>37498.509399887669</v>
      </c>
      <c r="C35" s="14">
        <f t="shared" si="17"/>
        <v>38683.158038134934</v>
      </c>
      <c r="D35" s="14">
        <f t="shared" si="17"/>
        <v>17231.431826449323</v>
      </c>
      <c r="E35" s="14">
        <f t="shared" si="17"/>
        <v>55157.424777866436</v>
      </c>
      <c r="F35" s="14">
        <f t="shared" si="17"/>
        <v>32272.759964885619</v>
      </c>
      <c r="G35" s="14">
        <f t="shared" si="17"/>
        <v>46461.138519902735</v>
      </c>
      <c r="H35" s="14">
        <f t="shared" si="17"/>
        <v>36848.593680758895</v>
      </c>
      <c r="I35" s="14">
        <f t="shared" si="17"/>
        <v>19727.55457308151</v>
      </c>
      <c r="J35" s="14">
        <f t="shared" si="17"/>
        <v>31227.73719410137</v>
      </c>
      <c r="K35" s="14">
        <f t="shared" si="17"/>
        <v>33991.39954819109</v>
      </c>
      <c r="L35" s="14">
        <f t="shared" si="17"/>
        <v>65359.389640817812</v>
      </c>
      <c r="M35" s="14">
        <f t="shared" si="17"/>
        <v>19368.059036236991</v>
      </c>
      <c r="N35" s="4">
        <f>SUM(B35:M35)</f>
        <v>433827.15620031446</v>
      </c>
      <c r="O35" s="3">
        <f>O32*(1-TaxRate)</f>
        <v>2649660</v>
      </c>
      <c r="P35" s="6">
        <f>IFERROR((N35-O35)/O35,0)</f>
        <v>-0.83627063238290411</v>
      </c>
    </row>
    <row r="38" spans="1:16" ht="16" x14ac:dyDescent="0.2">
      <c r="A38" s="47" t="s">
        <v>45</v>
      </c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</row>
    <row r="39" spans="1:16" x14ac:dyDescent="0.2">
      <c r="A39" s="17" t="s">
        <v>46</v>
      </c>
      <c r="B39" s="17" t="s">
        <v>47</v>
      </c>
      <c r="C39" s="17" t="s">
        <v>48</v>
      </c>
      <c r="D39" s="17" t="s">
        <v>49</v>
      </c>
    </row>
    <row r="40" spans="1:16" x14ac:dyDescent="0.2">
      <c r="A40" s="2" t="s">
        <v>50</v>
      </c>
      <c r="B40" s="11" t="s">
        <v>51</v>
      </c>
      <c r="C40" s="18">
        <f>PrimeRate</f>
        <v>5.5E-2</v>
      </c>
      <c r="D40" s="19" t="s">
        <v>52</v>
      </c>
    </row>
    <row r="41" spans="1:16" x14ac:dyDescent="0.2">
      <c r="A41" s="2" t="s">
        <v>53</v>
      </c>
      <c r="B41" s="11" t="s">
        <v>54</v>
      </c>
      <c r="C41" s="18">
        <f>EffectiveFloorPlanRate</f>
        <v>6.3500000000000001E-2</v>
      </c>
      <c r="D41" s="19" t="e">
        <f>B26+B27 on Assumptions</f>
        <v>#NAME?</v>
      </c>
    </row>
    <row r="42" spans="1:16" x14ac:dyDescent="0.2">
      <c r="A42" s="2" t="s">
        <v>55</v>
      </c>
      <c r="B42" s="11" t="s">
        <v>56</v>
      </c>
      <c r="C42" s="20">
        <f>AvgDaysOnLot_UV</f>
        <v>55.92</v>
      </c>
      <c r="D42" s="19">
        <f>AVERAGE('Used Vehicle'!F4:F53)</f>
        <v>55.92</v>
      </c>
    </row>
    <row r="43" spans="1:16" x14ac:dyDescent="0.2">
      <c r="A43" s="2" t="s">
        <v>57</v>
      </c>
      <c r="B43" s="11" t="s">
        <v>58</v>
      </c>
      <c r="C43" s="21">
        <f>AgedInventoryMultiplier</f>
        <v>1.1499999999999999</v>
      </c>
      <c r="D43" s="19">
        <f>IF(B29&gt;60,1.25,IF(B29&gt;45,1.15,1))</f>
        <v>1</v>
      </c>
    </row>
    <row r="44" spans="1:16" x14ac:dyDescent="0.2">
      <c r="A44" s="2" t="s">
        <v>59</v>
      </c>
      <c r="B44" s="11" t="s">
        <v>60</v>
      </c>
      <c r="C44" s="18">
        <f>RiskAdjustedFloorPlanRate</f>
        <v>7.3024999999999993E-2</v>
      </c>
      <c r="D44" s="19"/>
    </row>
    <row r="45" spans="1:16" x14ac:dyDescent="0.2">
      <c r="A45" s="2" t="s">
        <v>61</v>
      </c>
      <c r="B45" s="11" t="s">
        <v>62</v>
      </c>
      <c r="C45" s="3">
        <f>SUMPRODUCT('Used Vehicle'!F4:F53,'Used Vehicle'!H4:H53)*RiskAdjustedFloorPlanRate/365</f>
        <v>12285.002352260273</v>
      </c>
      <c r="D45" s="19" t="s">
        <v>63</v>
      </c>
    </row>
    <row r="46" spans="1:16" x14ac:dyDescent="0.2">
      <c r="A46" s="2" t="s">
        <v>64</v>
      </c>
      <c r="B46" s="11" t="s">
        <v>65</v>
      </c>
      <c r="C46" s="3">
        <f>SUM(UV_AdjGross)</f>
        <v>234465.99764773974</v>
      </c>
      <c r="D46" s="19" t="e">
        <f>SalePrice - Cost - Recon - FloorPlanInt</f>
        <v>#NAME?</v>
      </c>
    </row>
    <row r="47" spans="1:16" x14ac:dyDescent="0.2">
      <c r="A47" s="2" t="s">
        <v>66</v>
      </c>
      <c r="B47" s="11" t="s">
        <v>67</v>
      </c>
      <c r="C47" s="3">
        <f>N18</f>
        <v>782472.45564773981</v>
      </c>
      <c r="D47" s="19"/>
    </row>
    <row r="48" spans="1:16" x14ac:dyDescent="0.2">
      <c r="A48" s="2" t="s">
        <v>68</v>
      </c>
      <c r="B48" s="11" t="s">
        <v>69</v>
      </c>
      <c r="C48" s="3">
        <f>N32</f>
        <v>549148.2989877396</v>
      </c>
      <c r="D48" s="19" t="e">
        <f>Gross - OpEx + D&amp;A + AbsorptionBonus</f>
        <v>#NAME?</v>
      </c>
    </row>
    <row r="51" spans="1:16" x14ac:dyDescent="0.2">
      <c r="A51" s="46" t="s">
        <v>70</v>
      </c>
      <c r="B51" s="45"/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</row>
    <row r="52" spans="1:16" x14ac:dyDescent="0.2">
      <c r="A52" s="2" t="s">
        <v>71</v>
      </c>
      <c r="C52" s="3">
        <f>IF(VLOOKUP("Platinum",CommissionTable,3,FALSE)&gt;0.03,SUMIFS(NV_FrontGross,NV_Tier,"Platinum",'New Vehicle'!$C$4:$C$53,"&gt;"&amp;DATE(2025,4,1),'New Vehicle'!$C$4:$C$53,"&lt;"&amp;DATE(2025,7,1)),0)</f>
        <v>16643.976999999999</v>
      </c>
      <c r="D52" s="19" t="s">
        <v>72</v>
      </c>
    </row>
    <row r="53" spans="1:16" x14ac:dyDescent="0.2">
      <c r="A53" s="2" t="s">
        <v>73</v>
      </c>
      <c r="C53" s="3">
        <f>IF(VLOOKUP("Gold",CommissionTable,3,FALSE)&gt;=0.04,SUMIFS(NV_Commission,NV_Tier,"Gold")+SUMIFS(NV_Commission,NV_Tier,"Platinum"),0)</f>
        <v>5262.3678</v>
      </c>
      <c r="D53" s="19" t="s">
        <v>74</v>
      </c>
    </row>
    <row r="54" spans="1:16" x14ac:dyDescent="0.2">
      <c r="A54" s="2" t="s">
        <v>75</v>
      </c>
      <c r="C54" s="3">
        <f>IF(AND(AbsorptionRate&gt;ServiceAbsorptionTarget,N32&gt;O32),SUMPRODUCT((NV_Tier="Platinum")*NV_TotalComp)+SUMPRODUCT((NV_Tier="Gold")*NV_TotalComp)*0.5,0)</f>
        <v>0</v>
      </c>
      <c r="D54" s="19" t="s">
        <v>76</v>
      </c>
    </row>
  </sheetData>
  <mergeCells count="3">
    <mergeCell ref="A51:P51"/>
    <mergeCell ref="A1:P1"/>
    <mergeCell ref="A38:P38"/>
  </mergeCells>
  <conditionalFormatting sqref="P4:P35">
    <cfRule type="expression" dxfId="2" priority="1">
      <formula>AND(ISNUMBER(P4),ABS(P4)&gt;VarianceThreshold)</formula>
    </cfRule>
    <cfRule type="expression" dxfId="1" priority="2">
      <formula>AND(ISNUMBER(P4),ABS(P4)&lt;=VarianceThreshold,P4&gt;=0)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0"/>
  <sheetViews>
    <sheetView tabSelected="1" workbookViewId="0">
      <pane ySplit="3" topLeftCell="A4" activePane="bottomLeft" state="frozen"/>
      <selection pane="bottomLeft" activeCell="R39" sqref="R39"/>
    </sheetView>
  </sheetViews>
  <sheetFormatPr baseColWidth="10" defaultColWidth="8.83203125" defaultRowHeight="15" x14ac:dyDescent="0.2"/>
  <cols>
    <col min="1" max="1" width="10" customWidth="1"/>
    <col min="2" max="2" width="18" customWidth="1"/>
    <col min="3" max="3" width="12" customWidth="1"/>
    <col min="4" max="4" width="8" customWidth="1"/>
    <col min="5" max="5" width="10" customWidth="1"/>
    <col min="6" max="6" width="12" customWidth="1"/>
    <col min="7" max="7" width="14" customWidth="1"/>
    <col min="8" max="8" width="12" customWidth="1"/>
    <col min="9" max="9" width="18" customWidth="1"/>
    <col min="10" max="11" width="14" customWidth="1"/>
    <col min="12" max="12" width="16" customWidth="1"/>
    <col min="13" max="13" width="12" customWidth="1"/>
    <col min="14" max="15" width="14" customWidth="1"/>
    <col min="16" max="16" width="12" customWidth="1"/>
    <col min="17" max="17" width="18" customWidth="1"/>
    <col min="18" max="18" width="14" customWidth="1"/>
  </cols>
  <sheetData>
    <row r="1" spans="1:18" ht="18" x14ac:dyDescent="0.2">
      <c r="A1" s="44" t="s">
        <v>77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</row>
    <row r="3" spans="1:18" x14ac:dyDescent="0.2">
      <c r="A3" s="1" t="s">
        <v>78</v>
      </c>
      <c r="B3" s="1" t="s">
        <v>79</v>
      </c>
      <c r="C3" s="1" t="s">
        <v>80</v>
      </c>
      <c r="D3" s="1" t="s">
        <v>81</v>
      </c>
      <c r="E3" s="1" t="s">
        <v>82</v>
      </c>
      <c r="F3" s="1" t="s">
        <v>83</v>
      </c>
      <c r="G3" s="1" t="s">
        <v>84</v>
      </c>
      <c r="H3" s="1" t="s">
        <v>85</v>
      </c>
      <c r="I3" s="1" t="s">
        <v>86</v>
      </c>
      <c r="J3" s="1" t="s">
        <v>87</v>
      </c>
      <c r="K3" s="1" t="s">
        <v>88</v>
      </c>
      <c r="L3" s="1" t="s">
        <v>89</v>
      </c>
      <c r="M3" s="22" t="s">
        <v>90</v>
      </c>
      <c r="N3" s="22" t="s">
        <v>91</v>
      </c>
      <c r="O3" s="22" t="s">
        <v>92</v>
      </c>
      <c r="P3" s="22" t="s">
        <v>93</v>
      </c>
      <c r="Q3" s="22" t="s">
        <v>94</v>
      </c>
      <c r="R3" s="22" t="s">
        <v>95</v>
      </c>
    </row>
    <row r="4" spans="1:18" x14ac:dyDescent="0.2">
      <c r="A4" s="23" t="s">
        <v>96</v>
      </c>
      <c r="B4" s="23" t="s">
        <v>97</v>
      </c>
      <c r="C4" s="24">
        <v>45665</v>
      </c>
      <c r="D4" s="25" t="str">
        <f t="shared" ref="D4:D35" si="0">TEXT(C4,"mmm")</f>
        <v>Jan</v>
      </c>
      <c r="E4" s="23" t="s">
        <v>98</v>
      </c>
      <c r="F4" s="26">
        <v>54379</v>
      </c>
      <c r="G4" s="26">
        <v>48882</v>
      </c>
      <c r="H4" s="3">
        <f t="shared" ref="H4:H35" si="1">G4*HoldbackRate</f>
        <v>1222.05</v>
      </c>
      <c r="I4" s="3">
        <f t="shared" ref="I4:I35" si="2">G4*IF(E4="Toyota",IncentiveRate_Toyota,IF(E4="Honda",IncentiveRate_Honda,IF(E4="Ford",IncentiveRate_Ford,0)))</f>
        <v>1026.5220000000002</v>
      </c>
      <c r="J4" s="7">
        <f t="shared" ref="J4:J35" si="3">F4-G4+H4+I4</f>
        <v>7745.5720000000001</v>
      </c>
      <c r="K4" s="26">
        <v>1348</v>
      </c>
      <c r="L4" s="7">
        <f t="shared" ref="L4:L35" si="4">J4+K4</f>
        <v>9093.5720000000001</v>
      </c>
      <c r="M4" s="7">
        <f t="shared" ref="M4:M35" si="5">K4</f>
        <v>1348</v>
      </c>
      <c r="N4" s="27" t="str">
        <f t="shared" ref="N4:N35" si="6">IF(M4&gt;=TierMinPVR_Platinum,"Platinum",IF(M4&gt;=TierMinPVR_Gold,"Gold",IF(M4&gt;=TierMinPVR_Silver,"Silver","Bronze")))</f>
        <v>Silver</v>
      </c>
      <c r="O4" s="3">
        <f t="shared" ref="O4:O35" si="7">J4*VLOOKUP(N4,CommissionTable,3,FALSE)</f>
        <v>232.36715999999998</v>
      </c>
      <c r="P4" s="3">
        <f t="shared" ref="P4:P35" si="8">IF(O4&gt;VLOOKUP(N4,CommissionTable,5,FALSE),J4*VLOOKUP(N4,CommissionTable,4,FALSE),0)</f>
        <v>77.455719999999999</v>
      </c>
      <c r="Q4" s="3">
        <f t="shared" ref="Q4:Q35" si="9">IF(VLOOKUP(N4,CommissionTable,3,FALSE)&gt;0.03,SUMIFS($J$4:$J$53,$D$4:$D$53,D4,$C$4:$C$53,"&gt;"&amp;DATE(2025,1,1))*0.005,0)</f>
        <v>0</v>
      </c>
      <c r="R4" s="7">
        <f t="shared" ref="R4:R35" si="10">O4+P4+Q4</f>
        <v>309.82288</v>
      </c>
    </row>
    <row r="5" spans="1:18" x14ac:dyDescent="0.2">
      <c r="A5" s="23" t="s">
        <v>99</v>
      </c>
      <c r="B5" s="23" t="s">
        <v>100</v>
      </c>
      <c r="C5" s="24">
        <v>45679</v>
      </c>
      <c r="D5" s="25" t="str">
        <f t="shared" si="0"/>
        <v>Jan</v>
      </c>
      <c r="E5" s="23" t="s">
        <v>98</v>
      </c>
      <c r="F5" s="26">
        <v>53331</v>
      </c>
      <c r="G5" s="26">
        <v>47857</v>
      </c>
      <c r="H5" s="3">
        <f t="shared" si="1"/>
        <v>1196.425</v>
      </c>
      <c r="I5" s="3">
        <f t="shared" si="2"/>
        <v>1004.9970000000001</v>
      </c>
      <c r="J5" s="7">
        <f t="shared" si="3"/>
        <v>7675.4220000000005</v>
      </c>
      <c r="K5" s="26">
        <v>963</v>
      </c>
      <c r="L5" s="7">
        <f t="shared" si="4"/>
        <v>8638.4220000000005</v>
      </c>
      <c r="M5" s="7">
        <f t="shared" si="5"/>
        <v>963</v>
      </c>
      <c r="N5" s="27" t="str">
        <f t="shared" si="6"/>
        <v>Bronze</v>
      </c>
      <c r="O5" s="3">
        <f t="shared" si="7"/>
        <v>153.50844000000001</v>
      </c>
      <c r="P5" s="3">
        <f t="shared" si="8"/>
        <v>0</v>
      </c>
      <c r="Q5" s="3">
        <f t="shared" si="9"/>
        <v>0</v>
      </c>
      <c r="R5" s="7">
        <f t="shared" si="10"/>
        <v>153.50844000000001</v>
      </c>
    </row>
    <row r="6" spans="1:18" x14ac:dyDescent="0.2">
      <c r="A6" s="23" t="s">
        <v>101</v>
      </c>
      <c r="B6" s="23" t="s">
        <v>102</v>
      </c>
      <c r="C6" s="24">
        <v>45685</v>
      </c>
      <c r="D6" s="25" t="str">
        <f t="shared" si="0"/>
        <v>Jan</v>
      </c>
      <c r="E6" s="23" t="s">
        <v>98</v>
      </c>
      <c r="F6" s="26">
        <v>33008</v>
      </c>
      <c r="G6" s="26">
        <v>30289</v>
      </c>
      <c r="H6" s="3">
        <f t="shared" si="1"/>
        <v>757.22500000000002</v>
      </c>
      <c r="I6" s="3">
        <f t="shared" si="2"/>
        <v>636.06900000000007</v>
      </c>
      <c r="J6" s="7">
        <f t="shared" si="3"/>
        <v>4112.2939999999999</v>
      </c>
      <c r="K6" s="26">
        <v>2422</v>
      </c>
      <c r="L6" s="7">
        <f t="shared" si="4"/>
        <v>6534.2939999999999</v>
      </c>
      <c r="M6" s="7">
        <f t="shared" si="5"/>
        <v>2422</v>
      </c>
      <c r="N6" s="27" t="str">
        <f t="shared" si="6"/>
        <v>Platinum</v>
      </c>
      <c r="O6" s="3">
        <f t="shared" si="7"/>
        <v>205.6147</v>
      </c>
      <c r="P6" s="3">
        <f t="shared" si="8"/>
        <v>0</v>
      </c>
      <c r="Q6" s="3">
        <f t="shared" si="9"/>
        <v>97.666440000000009</v>
      </c>
      <c r="R6" s="7">
        <f t="shared" si="10"/>
        <v>303.28113999999999</v>
      </c>
    </row>
    <row r="7" spans="1:18" x14ac:dyDescent="0.2">
      <c r="A7" s="23" t="s">
        <v>103</v>
      </c>
      <c r="B7" s="23" t="s">
        <v>104</v>
      </c>
      <c r="C7" s="24">
        <v>45690</v>
      </c>
      <c r="D7" s="25" t="str">
        <f t="shared" si="0"/>
        <v>Feb</v>
      </c>
      <c r="E7" s="23" t="s">
        <v>105</v>
      </c>
      <c r="F7" s="26">
        <v>51862</v>
      </c>
      <c r="G7" s="26">
        <v>46694</v>
      </c>
      <c r="H7" s="3">
        <f t="shared" si="1"/>
        <v>1167.3500000000001</v>
      </c>
      <c r="I7" s="3">
        <f t="shared" si="2"/>
        <v>840.49199999999996</v>
      </c>
      <c r="J7" s="7">
        <f t="shared" si="3"/>
        <v>7175.8420000000006</v>
      </c>
      <c r="K7" s="26">
        <v>2564</v>
      </c>
      <c r="L7" s="7">
        <f t="shared" si="4"/>
        <v>9739.8420000000006</v>
      </c>
      <c r="M7" s="7">
        <f t="shared" si="5"/>
        <v>2564</v>
      </c>
      <c r="N7" s="27" t="str">
        <f t="shared" si="6"/>
        <v>Platinum</v>
      </c>
      <c r="O7" s="3">
        <f t="shared" si="7"/>
        <v>358.79210000000006</v>
      </c>
      <c r="P7" s="3">
        <f t="shared" si="8"/>
        <v>0</v>
      </c>
      <c r="Q7" s="3">
        <f t="shared" si="9"/>
        <v>115.66993000000001</v>
      </c>
      <c r="R7" s="7">
        <f t="shared" si="10"/>
        <v>474.46203000000008</v>
      </c>
    </row>
    <row r="8" spans="1:18" x14ac:dyDescent="0.2">
      <c r="A8" s="23" t="s">
        <v>106</v>
      </c>
      <c r="B8" s="23" t="s">
        <v>107</v>
      </c>
      <c r="C8" s="24">
        <v>45695</v>
      </c>
      <c r="D8" s="25" t="str">
        <f t="shared" si="0"/>
        <v>Feb</v>
      </c>
      <c r="E8" s="23" t="s">
        <v>108</v>
      </c>
      <c r="F8" s="26">
        <v>56716</v>
      </c>
      <c r="G8" s="26">
        <v>52353</v>
      </c>
      <c r="H8" s="3">
        <f t="shared" si="1"/>
        <v>1308.825</v>
      </c>
      <c r="I8" s="3">
        <f t="shared" si="2"/>
        <v>1308.825</v>
      </c>
      <c r="J8" s="7">
        <f t="shared" si="3"/>
        <v>6980.65</v>
      </c>
      <c r="K8" s="26">
        <v>1235</v>
      </c>
      <c r="L8" s="7">
        <f t="shared" si="4"/>
        <v>8215.65</v>
      </c>
      <c r="M8" s="7">
        <f t="shared" si="5"/>
        <v>1235</v>
      </c>
      <c r="N8" s="27" t="str">
        <f t="shared" si="6"/>
        <v>Silver</v>
      </c>
      <c r="O8" s="3">
        <f t="shared" si="7"/>
        <v>209.41949999999997</v>
      </c>
      <c r="P8" s="3">
        <f t="shared" si="8"/>
        <v>69.8065</v>
      </c>
      <c r="Q8" s="3">
        <f t="shared" si="9"/>
        <v>0</v>
      </c>
      <c r="R8" s="7">
        <f t="shared" si="10"/>
        <v>279.226</v>
      </c>
    </row>
    <row r="9" spans="1:18" x14ac:dyDescent="0.2">
      <c r="A9" s="23" t="s">
        <v>109</v>
      </c>
      <c r="B9" s="23" t="s">
        <v>110</v>
      </c>
      <c r="C9" s="24">
        <v>45696</v>
      </c>
      <c r="D9" s="25" t="str">
        <f t="shared" si="0"/>
        <v>Feb</v>
      </c>
      <c r="E9" s="23" t="s">
        <v>98</v>
      </c>
      <c r="F9" s="26">
        <v>34232</v>
      </c>
      <c r="G9" s="26">
        <v>31225</v>
      </c>
      <c r="H9" s="3">
        <f t="shared" si="1"/>
        <v>780.625</v>
      </c>
      <c r="I9" s="3">
        <f t="shared" si="2"/>
        <v>655.72500000000002</v>
      </c>
      <c r="J9" s="7">
        <f t="shared" si="3"/>
        <v>4443.3500000000004</v>
      </c>
      <c r="K9" s="26">
        <v>1087</v>
      </c>
      <c r="L9" s="7">
        <f t="shared" si="4"/>
        <v>5530.35</v>
      </c>
      <c r="M9" s="7">
        <f t="shared" si="5"/>
        <v>1087</v>
      </c>
      <c r="N9" s="27" t="str">
        <f t="shared" si="6"/>
        <v>Bronze</v>
      </c>
      <c r="O9" s="3">
        <f t="shared" si="7"/>
        <v>88.867000000000004</v>
      </c>
      <c r="P9" s="3">
        <f t="shared" si="8"/>
        <v>0</v>
      </c>
      <c r="Q9" s="3">
        <f t="shared" si="9"/>
        <v>0</v>
      </c>
      <c r="R9" s="7">
        <f t="shared" si="10"/>
        <v>88.867000000000004</v>
      </c>
    </row>
    <row r="10" spans="1:18" x14ac:dyDescent="0.2">
      <c r="A10" s="23" t="s">
        <v>111</v>
      </c>
      <c r="B10" s="23" t="s">
        <v>112</v>
      </c>
      <c r="C10" s="24">
        <v>45707</v>
      </c>
      <c r="D10" s="25" t="str">
        <f t="shared" si="0"/>
        <v>Feb</v>
      </c>
      <c r="E10" s="23" t="s">
        <v>105</v>
      </c>
      <c r="F10" s="26">
        <v>29041</v>
      </c>
      <c r="G10" s="26">
        <v>25608</v>
      </c>
      <c r="H10" s="3">
        <f t="shared" si="1"/>
        <v>640.20000000000005</v>
      </c>
      <c r="I10" s="3">
        <f t="shared" si="2"/>
        <v>460.94399999999996</v>
      </c>
      <c r="J10" s="7">
        <f t="shared" si="3"/>
        <v>4534.1440000000002</v>
      </c>
      <c r="K10" s="26">
        <v>1247</v>
      </c>
      <c r="L10" s="7">
        <f t="shared" si="4"/>
        <v>5781.1440000000002</v>
      </c>
      <c r="M10" s="7">
        <f t="shared" si="5"/>
        <v>1247</v>
      </c>
      <c r="N10" s="27" t="str">
        <f t="shared" si="6"/>
        <v>Silver</v>
      </c>
      <c r="O10" s="3">
        <f t="shared" si="7"/>
        <v>136.02431999999999</v>
      </c>
      <c r="P10" s="3">
        <f t="shared" si="8"/>
        <v>0</v>
      </c>
      <c r="Q10" s="3">
        <f t="shared" si="9"/>
        <v>0</v>
      </c>
      <c r="R10" s="7">
        <f t="shared" si="10"/>
        <v>136.02431999999999</v>
      </c>
    </row>
    <row r="11" spans="1:18" x14ac:dyDescent="0.2">
      <c r="A11" s="23" t="s">
        <v>113</v>
      </c>
      <c r="B11" s="23" t="s">
        <v>114</v>
      </c>
      <c r="C11" s="24">
        <v>45725</v>
      </c>
      <c r="D11" s="25" t="str">
        <f t="shared" si="0"/>
        <v>Mar</v>
      </c>
      <c r="E11" s="23" t="s">
        <v>98</v>
      </c>
      <c r="F11" s="26">
        <v>36081</v>
      </c>
      <c r="G11" s="26">
        <v>33364</v>
      </c>
      <c r="H11" s="3">
        <f t="shared" si="1"/>
        <v>834.1</v>
      </c>
      <c r="I11" s="3">
        <f t="shared" si="2"/>
        <v>700.64400000000001</v>
      </c>
      <c r="J11" s="7">
        <f t="shared" si="3"/>
        <v>4251.7439999999997</v>
      </c>
      <c r="K11" s="26">
        <v>1903</v>
      </c>
      <c r="L11" s="7">
        <f t="shared" si="4"/>
        <v>6154.7439999999997</v>
      </c>
      <c r="M11" s="7">
        <f t="shared" si="5"/>
        <v>1903</v>
      </c>
      <c r="N11" s="27" t="str">
        <f t="shared" si="6"/>
        <v>Gold</v>
      </c>
      <c r="O11" s="3">
        <f t="shared" si="7"/>
        <v>170.06976</v>
      </c>
      <c r="P11" s="3">
        <f t="shared" si="8"/>
        <v>0</v>
      </c>
      <c r="Q11" s="3">
        <f t="shared" si="9"/>
        <v>79.392060000000001</v>
      </c>
      <c r="R11" s="7">
        <f t="shared" si="10"/>
        <v>249.46181999999999</v>
      </c>
    </row>
    <row r="12" spans="1:18" x14ac:dyDescent="0.2">
      <c r="A12" s="23" t="s">
        <v>115</v>
      </c>
      <c r="B12" s="23" t="s">
        <v>116</v>
      </c>
      <c r="C12" s="24">
        <v>45731</v>
      </c>
      <c r="D12" s="25" t="str">
        <f t="shared" si="0"/>
        <v>Mar</v>
      </c>
      <c r="E12" s="23" t="s">
        <v>98</v>
      </c>
      <c r="F12" s="26">
        <v>51661</v>
      </c>
      <c r="G12" s="26">
        <v>48176</v>
      </c>
      <c r="H12" s="3">
        <f t="shared" si="1"/>
        <v>1204.4000000000001</v>
      </c>
      <c r="I12" s="3">
        <f t="shared" si="2"/>
        <v>1011.696</v>
      </c>
      <c r="J12" s="7">
        <f t="shared" si="3"/>
        <v>5701.0959999999995</v>
      </c>
      <c r="K12" s="26">
        <v>1339</v>
      </c>
      <c r="L12" s="7">
        <f t="shared" si="4"/>
        <v>7040.0959999999995</v>
      </c>
      <c r="M12" s="7">
        <f t="shared" si="5"/>
        <v>1339</v>
      </c>
      <c r="N12" s="27" t="str">
        <f t="shared" si="6"/>
        <v>Silver</v>
      </c>
      <c r="O12" s="3">
        <f t="shared" si="7"/>
        <v>171.03287999999998</v>
      </c>
      <c r="P12" s="3">
        <f t="shared" si="8"/>
        <v>57.010959999999997</v>
      </c>
      <c r="Q12" s="3">
        <f t="shared" si="9"/>
        <v>0</v>
      </c>
      <c r="R12" s="7">
        <f t="shared" si="10"/>
        <v>228.04383999999999</v>
      </c>
    </row>
    <row r="13" spans="1:18" x14ac:dyDescent="0.2">
      <c r="A13" s="23" t="s">
        <v>117</v>
      </c>
      <c r="B13" s="23" t="s">
        <v>118</v>
      </c>
      <c r="C13" s="24">
        <v>45740</v>
      </c>
      <c r="D13" s="25" t="str">
        <f t="shared" si="0"/>
        <v>Mar</v>
      </c>
      <c r="E13" s="23" t="s">
        <v>98</v>
      </c>
      <c r="F13" s="26">
        <v>50174</v>
      </c>
      <c r="G13" s="26">
        <v>46382</v>
      </c>
      <c r="H13" s="3">
        <f t="shared" si="1"/>
        <v>1159.55</v>
      </c>
      <c r="I13" s="3">
        <f t="shared" si="2"/>
        <v>974.02200000000005</v>
      </c>
      <c r="J13" s="7">
        <f t="shared" si="3"/>
        <v>5925.5720000000001</v>
      </c>
      <c r="K13" s="26">
        <v>1916</v>
      </c>
      <c r="L13" s="7">
        <f t="shared" si="4"/>
        <v>7841.5720000000001</v>
      </c>
      <c r="M13" s="7">
        <f t="shared" si="5"/>
        <v>1916</v>
      </c>
      <c r="N13" s="27" t="str">
        <f t="shared" si="6"/>
        <v>Gold</v>
      </c>
      <c r="O13" s="3">
        <f t="shared" si="7"/>
        <v>237.02288000000001</v>
      </c>
      <c r="P13" s="3">
        <f t="shared" si="8"/>
        <v>0</v>
      </c>
      <c r="Q13" s="3">
        <f t="shared" si="9"/>
        <v>79.392060000000001</v>
      </c>
      <c r="R13" s="7">
        <f t="shared" si="10"/>
        <v>316.41494</v>
      </c>
    </row>
    <row r="14" spans="1:18" x14ac:dyDescent="0.2">
      <c r="A14" s="23" t="s">
        <v>119</v>
      </c>
      <c r="B14" s="23" t="s">
        <v>120</v>
      </c>
      <c r="C14" s="24">
        <v>45751</v>
      </c>
      <c r="D14" s="25" t="str">
        <f t="shared" si="0"/>
        <v>Apr</v>
      </c>
      <c r="E14" s="23" t="s">
        <v>98</v>
      </c>
      <c r="F14" s="26">
        <v>49593</v>
      </c>
      <c r="G14" s="26">
        <v>44924</v>
      </c>
      <c r="H14" s="3">
        <f t="shared" si="1"/>
        <v>1123.1000000000001</v>
      </c>
      <c r="I14" s="3">
        <f t="shared" si="2"/>
        <v>943.40400000000011</v>
      </c>
      <c r="J14" s="7">
        <f t="shared" si="3"/>
        <v>6735.5040000000008</v>
      </c>
      <c r="K14" s="26">
        <v>1667</v>
      </c>
      <c r="L14" s="7">
        <f t="shared" si="4"/>
        <v>8402.5040000000008</v>
      </c>
      <c r="M14" s="7">
        <f t="shared" si="5"/>
        <v>1667</v>
      </c>
      <c r="N14" s="27" t="str">
        <f t="shared" si="6"/>
        <v>Silver</v>
      </c>
      <c r="O14" s="3">
        <f t="shared" si="7"/>
        <v>202.06512000000001</v>
      </c>
      <c r="P14" s="3">
        <f t="shared" si="8"/>
        <v>67.355040000000002</v>
      </c>
      <c r="Q14" s="3">
        <f t="shared" si="9"/>
        <v>0</v>
      </c>
      <c r="R14" s="7">
        <f t="shared" si="10"/>
        <v>269.42016000000001</v>
      </c>
    </row>
    <row r="15" spans="1:18" x14ac:dyDescent="0.2">
      <c r="A15" s="23" t="s">
        <v>121</v>
      </c>
      <c r="B15" s="23" t="s">
        <v>122</v>
      </c>
      <c r="C15" s="24">
        <v>45764</v>
      </c>
      <c r="D15" s="25" t="str">
        <f t="shared" si="0"/>
        <v>Apr</v>
      </c>
      <c r="E15" s="23" t="s">
        <v>108</v>
      </c>
      <c r="F15" s="26">
        <v>28869</v>
      </c>
      <c r="G15" s="26">
        <v>26376</v>
      </c>
      <c r="H15" s="3">
        <f t="shared" si="1"/>
        <v>659.40000000000009</v>
      </c>
      <c r="I15" s="3">
        <f t="shared" si="2"/>
        <v>659.40000000000009</v>
      </c>
      <c r="J15" s="7">
        <f t="shared" si="3"/>
        <v>3811.8</v>
      </c>
      <c r="K15" s="26">
        <v>2266</v>
      </c>
      <c r="L15" s="7">
        <f t="shared" si="4"/>
        <v>6077.8</v>
      </c>
      <c r="M15" s="7">
        <f t="shared" si="5"/>
        <v>2266</v>
      </c>
      <c r="N15" s="27" t="str">
        <f t="shared" si="6"/>
        <v>Gold</v>
      </c>
      <c r="O15" s="3">
        <f t="shared" si="7"/>
        <v>152.47200000000001</v>
      </c>
      <c r="P15" s="3">
        <f t="shared" si="8"/>
        <v>0</v>
      </c>
      <c r="Q15" s="3">
        <f t="shared" si="9"/>
        <v>148.22228999999999</v>
      </c>
      <c r="R15" s="7">
        <f t="shared" si="10"/>
        <v>300.69429000000002</v>
      </c>
    </row>
    <row r="16" spans="1:18" x14ac:dyDescent="0.2">
      <c r="A16" s="23" t="s">
        <v>123</v>
      </c>
      <c r="B16" s="23" t="s">
        <v>124</v>
      </c>
      <c r="C16" s="24">
        <v>45765</v>
      </c>
      <c r="D16" s="25" t="str">
        <f t="shared" si="0"/>
        <v>Apr</v>
      </c>
      <c r="E16" s="23" t="s">
        <v>108</v>
      </c>
      <c r="F16" s="26">
        <v>50605</v>
      </c>
      <c r="G16" s="26">
        <v>45143</v>
      </c>
      <c r="H16" s="3">
        <f t="shared" si="1"/>
        <v>1128.575</v>
      </c>
      <c r="I16" s="3">
        <f t="shared" si="2"/>
        <v>1128.575</v>
      </c>
      <c r="J16" s="7">
        <f t="shared" si="3"/>
        <v>7719.15</v>
      </c>
      <c r="K16" s="26">
        <v>1438</v>
      </c>
      <c r="L16" s="7">
        <f t="shared" si="4"/>
        <v>9157.15</v>
      </c>
      <c r="M16" s="7">
        <f t="shared" si="5"/>
        <v>1438</v>
      </c>
      <c r="N16" s="27" t="str">
        <f t="shared" si="6"/>
        <v>Silver</v>
      </c>
      <c r="O16" s="3">
        <f t="shared" si="7"/>
        <v>231.57449999999997</v>
      </c>
      <c r="P16" s="3">
        <f t="shared" si="8"/>
        <v>77.191500000000005</v>
      </c>
      <c r="Q16" s="3">
        <f t="shared" si="9"/>
        <v>0</v>
      </c>
      <c r="R16" s="7">
        <f t="shared" si="10"/>
        <v>308.76599999999996</v>
      </c>
    </row>
    <row r="17" spans="1:18" x14ac:dyDescent="0.2">
      <c r="A17" s="23" t="s">
        <v>125</v>
      </c>
      <c r="B17" s="23" t="s">
        <v>126</v>
      </c>
      <c r="C17" s="24">
        <v>45765</v>
      </c>
      <c r="D17" s="25" t="str">
        <f t="shared" si="0"/>
        <v>Apr</v>
      </c>
      <c r="E17" s="23" t="s">
        <v>98</v>
      </c>
      <c r="F17" s="26">
        <v>51702</v>
      </c>
      <c r="G17" s="26">
        <v>48399</v>
      </c>
      <c r="H17" s="3">
        <f t="shared" si="1"/>
        <v>1209.9750000000001</v>
      </c>
      <c r="I17" s="3">
        <f t="shared" si="2"/>
        <v>1016.379</v>
      </c>
      <c r="J17" s="7">
        <f t="shared" si="3"/>
        <v>5529.3540000000003</v>
      </c>
      <c r="K17" s="26">
        <v>1969</v>
      </c>
      <c r="L17" s="7">
        <f t="shared" si="4"/>
        <v>7498.3540000000003</v>
      </c>
      <c r="M17" s="7">
        <f t="shared" si="5"/>
        <v>1969</v>
      </c>
      <c r="N17" s="27" t="str">
        <f t="shared" si="6"/>
        <v>Gold</v>
      </c>
      <c r="O17" s="3">
        <f t="shared" si="7"/>
        <v>221.17416000000003</v>
      </c>
      <c r="P17" s="3">
        <f t="shared" si="8"/>
        <v>0</v>
      </c>
      <c r="Q17" s="3">
        <f t="shared" si="9"/>
        <v>148.22228999999999</v>
      </c>
      <c r="R17" s="7">
        <f t="shared" si="10"/>
        <v>369.39645000000002</v>
      </c>
    </row>
    <row r="18" spans="1:18" x14ac:dyDescent="0.2">
      <c r="A18" s="23" t="s">
        <v>127</v>
      </c>
      <c r="B18" s="23" t="s">
        <v>128</v>
      </c>
      <c r="C18" s="24">
        <v>45775</v>
      </c>
      <c r="D18" s="25" t="str">
        <f t="shared" si="0"/>
        <v>Apr</v>
      </c>
      <c r="E18" s="23" t="s">
        <v>98</v>
      </c>
      <c r="F18" s="26">
        <v>40455</v>
      </c>
      <c r="G18" s="26">
        <v>36275</v>
      </c>
      <c r="H18" s="3">
        <f t="shared" si="1"/>
        <v>906.875</v>
      </c>
      <c r="I18" s="3">
        <f t="shared" si="2"/>
        <v>761.77500000000009</v>
      </c>
      <c r="J18" s="7">
        <f t="shared" si="3"/>
        <v>5848.65</v>
      </c>
      <c r="K18" s="26">
        <v>2101</v>
      </c>
      <c r="L18" s="7">
        <f t="shared" si="4"/>
        <v>7949.65</v>
      </c>
      <c r="M18" s="7">
        <f t="shared" si="5"/>
        <v>2101</v>
      </c>
      <c r="N18" s="27" t="str">
        <f t="shared" si="6"/>
        <v>Gold</v>
      </c>
      <c r="O18" s="3">
        <f t="shared" si="7"/>
        <v>233.946</v>
      </c>
      <c r="P18" s="3">
        <f t="shared" si="8"/>
        <v>0</v>
      </c>
      <c r="Q18" s="3">
        <f t="shared" si="9"/>
        <v>148.22228999999999</v>
      </c>
      <c r="R18" s="7">
        <f t="shared" si="10"/>
        <v>382.16828999999996</v>
      </c>
    </row>
    <row r="19" spans="1:18" x14ac:dyDescent="0.2">
      <c r="A19" s="23" t="s">
        <v>129</v>
      </c>
      <c r="B19" s="23" t="s">
        <v>130</v>
      </c>
      <c r="C19" s="24">
        <v>45801</v>
      </c>
      <c r="D19" s="25" t="str">
        <f t="shared" si="0"/>
        <v>May</v>
      </c>
      <c r="E19" s="23" t="s">
        <v>108</v>
      </c>
      <c r="F19" s="26">
        <v>42038</v>
      </c>
      <c r="G19" s="26">
        <v>39258</v>
      </c>
      <c r="H19" s="3">
        <f t="shared" si="1"/>
        <v>981.45</v>
      </c>
      <c r="I19" s="3">
        <f t="shared" si="2"/>
        <v>981.45</v>
      </c>
      <c r="J19" s="7">
        <f t="shared" si="3"/>
        <v>4742.8999999999996</v>
      </c>
      <c r="K19" s="26">
        <v>1617</v>
      </c>
      <c r="L19" s="7">
        <f t="shared" si="4"/>
        <v>6359.9</v>
      </c>
      <c r="M19" s="7">
        <f t="shared" si="5"/>
        <v>1617</v>
      </c>
      <c r="N19" s="27" t="str">
        <f t="shared" si="6"/>
        <v>Silver</v>
      </c>
      <c r="O19" s="3">
        <f t="shared" si="7"/>
        <v>142.28699999999998</v>
      </c>
      <c r="P19" s="3">
        <f t="shared" si="8"/>
        <v>0</v>
      </c>
      <c r="Q19" s="3">
        <f t="shared" si="9"/>
        <v>0</v>
      </c>
      <c r="R19" s="7">
        <f t="shared" si="10"/>
        <v>142.28699999999998</v>
      </c>
    </row>
    <row r="20" spans="1:18" x14ac:dyDescent="0.2">
      <c r="A20" s="23" t="s">
        <v>131</v>
      </c>
      <c r="B20" s="23" t="s">
        <v>132</v>
      </c>
      <c r="C20" s="24">
        <v>45802</v>
      </c>
      <c r="D20" s="25" t="str">
        <f t="shared" si="0"/>
        <v>May</v>
      </c>
      <c r="E20" s="23" t="s">
        <v>108</v>
      </c>
      <c r="F20" s="26">
        <v>39146</v>
      </c>
      <c r="G20" s="26">
        <v>34710</v>
      </c>
      <c r="H20" s="3">
        <f t="shared" si="1"/>
        <v>867.75</v>
      </c>
      <c r="I20" s="3">
        <f t="shared" si="2"/>
        <v>867.75</v>
      </c>
      <c r="J20" s="7">
        <f t="shared" si="3"/>
        <v>6171.5</v>
      </c>
      <c r="K20" s="26">
        <v>1690</v>
      </c>
      <c r="L20" s="7">
        <f t="shared" si="4"/>
        <v>7861.5</v>
      </c>
      <c r="M20" s="7">
        <f t="shared" si="5"/>
        <v>1690</v>
      </c>
      <c r="N20" s="27" t="str">
        <f t="shared" si="6"/>
        <v>Silver</v>
      </c>
      <c r="O20" s="3">
        <f t="shared" si="7"/>
        <v>185.14499999999998</v>
      </c>
      <c r="P20" s="3">
        <f t="shared" si="8"/>
        <v>61.715000000000003</v>
      </c>
      <c r="Q20" s="3">
        <f t="shared" si="9"/>
        <v>0</v>
      </c>
      <c r="R20" s="7">
        <f t="shared" si="10"/>
        <v>246.85999999999999</v>
      </c>
    </row>
    <row r="21" spans="1:18" x14ac:dyDescent="0.2">
      <c r="A21" s="23" t="s">
        <v>133</v>
      </c>
      <c r="B21" s="23" t="s">
        <v>134</v>
      </c>
      <c r="C21" s="24">
        <v>45803</v>
      </c>
      <c r="D21" s="25" t="str">
        <f t="shared" si="0"/>
        <v>May</v>
      </c>
      <c r="E21" s="23" t="s">
        <v>98</v>
      </c>
      <c r="F21" s="26">
        <v>52864</v>
      </c>
      <c r="G21" s="26">
        <v>49076</v>
      </c>
      <c r="H21" s="3">
        <f t="shared" si="1"/>
        <v>1226.9000000000001</v>
      </c>
      <c r="I21" s="3">
        <f t="shared" si="2"/>
        <v>1030.596</v>
      </c>
      <c r="J21" s="7">
        <f t="shared" si="3"/>
        <v>6045.4959999999992</v>
      </c>
      <c r="K21" s="26">
        <v>2229</v>
      </c>
      <c r="L21" s="7">
        <f t="shared" si="4"/>
        <v>8274.4959999999992</v>
      </c>
      <c r="M21" s="7">
        <f t="shared" si="5"/>
        <v>2229</v>
      </c>
      <c r="N21" s="27" t="str">
        <f t="shared" si="6"/>
        <v>Gold</v>
      </c>
      <c r="O21" s="3">
        <f t="shared" si="7"/>
        <v>241.81983999999997</v>
      </c>
      <c r="P21" s="3">
        <f t="shared" si="8"/>
        <v>0</v>
      </c>
      <c r="Q21" s="3">
        <f t="shared" si="9"/>
        <v>84.799480000000003</v>
      </c>
      <c r="R21" s="7">
        <f t="shared" si="10"/>
        <v>326.61931999999996</v>
      </c>
    </row>
    <row r="22" spans="1:18" x14ac:dyDescent="0.2">
      <c r="A22" s="23" t="s">
        <v>135</v>
      </c>
      <c r="B22" s="23" t="s">
        <v>136</v>
      </c>
      <c r="C22" s="24">
        <v>45811</v>
      </c>
      <c r="D22" s="25" t="str">
        <f t="shared" si="0"/>
        <v>Jun</v>
      </c>
      <c r="E22" s="23" t="s">
        <v>108</v>
      </c>
      <c r="F22" s="26">
        <v>35798</v>
      </c>
      <c r="G22" s="26">
        <v>32100</v>
      </c>
      <c r="H22" s="3">
        <f t="shared" si="1"/>
        <v>802.5</v>
      </c>
      <c r="I22" s="3">
        <f t="shared" si="2"/>
        <v>802.5</v>
      </c>
      <c r="J22" s="7">
        <f t="shared" si="3"/>
        <v>5303</v>
      </c>
      <c r="K22" s="26">
        <v>1794</v>
      </c>
      <c r="L22" s="7">
        <f t="shared" si="4"/>
        <v>7097</v>
      </c>
      <c r="M22" s="7">
        <f t="shared" si="5"/>
        <v>1794</v>
      </c>
      <c r="N22" s="27" t="str">
        <f t="shared" si="6"/>
        <v>Silver</v>
      </c>
      <c r="O22" s="3">
        <f t="shared" si="7"/>
        <v>159.09</v>
      </c>
      <c r="P22" s="3">
        <f t="shared" si="8"/>
        <v>53.03</v>
      </c>
      <c r="Q22" s="3">
        <f t="shared" si="9"/>
        <v>0</v>
      </c>
      <c r="R22" s="7">
        <f t="shared" si="10"/>
        <v>212.12</v>
      </c>
    </row>
    <row r="23" spans="1:18" x14ac:dyDescent="0.2">
      <c r="A23" s="23" t="s">
        <v>137</v>
      </c>
      <c r="B23" s="23" t="s">
        <v>138</v>
      </c>
      <c r="C23" s="24">
        <v>45812</v>
      </c>
      <c r="D23" s="25" t="str">
        <f t="shared" si="0"/>
        <v>Jun</v>
      </c>
      <c r="E23" s="23" t="s">
        <v>98</v>
      </c>
      <c r="F23" s="26">
        <v>40449</v>
      </c>
      <c r="G23" s="26">
        <v>35829</v>
      </c>
      <c r="H23" s="3">
        <f t="shared" si="1"/>
        <v>895.72500000000002</v>
      </c>
      <c r="I23" s="3">
        <f t="shared" si="2"/>
        <v>752.40899999999999</v>
      </c>
      <c r="J23" s="7">
        <f t="shared" si="3"/>
        <v>6268.134</v>
      </c>
      <c r="K23" s="26">
        <v>2535</v>
      </c>
      <c r="L23" s="7">
        <f t="shared" si="4"/>
        <v>8803.134</v>
      </c>
      <c r="M23" s="7">
        <f t="shared" si="5"/>
        <v>2535</v>
      </c>
      <c r="N23" s="27" t="str">
        <f t="shared" si="6"/>
        <v>Platinum</v>
      </c>
      <c r="O23" s="3">
        <f t="shared" si="7"/>
        <v>313.4067</v>
      </c>
      <c r="P23" s="3">
        <f t="shared" si="8"/>
        <v>0</v>
      </c>
      <c r="Q23" s="3">
        <f t="shared" si="9"/>
        <v>210.48449000000002</v>
      </c>
      <c r="R23" s="7">
        <f t="shared" si="10"/>
        <v>523.89119000000005</v>
      </c>
    </row>
    <row r="24" spans="1:18" x14ac:dyDescent="0.2">
      <c r="A24" s="23" t="s">
        <v>139</v>
      </c>
      <c r="B24" s="23" t="s">
        <v>140</v>
      </c>
      <c r="C24" s="24">
        <v>45814</v>
      </c>
      <c r="D24" s="25" t="str">
        <f t="shared" si="0"/>
        <v>Jun</v>
      </c>
      <c r="E24" s="23" t="s">
        <v>105</v>
      </c>
      <c r="F24" s="26">
        <v>39641</v>
      </c>
      <c r="G24" s="26">
        <v>35382</v>
      </c>
      <c r="H24" s="3">
        <f t="shared" si="1"/>
        <v>884.55000000000007</v>
      </c>
      <c r="I24" s="3">
        <f t="shared" si="2"/>
        <v>636.87599999999998</v>
      </c>
      <c r="J24" s="7">
        <f t="shared" si="3"/>
        <v>5780.4260000000004</v>
      </c>
      <c r="K24" s="26">
        <v>1346</v>
      </c>
      <c r="L24" s="7">
        <f t="shared" si="4"/>
        <v>7126.4260000000004</v>
      </c>
      <c r="M24" s="7">
        <f t="shared" si="5"/>
        <v>1346</v>
      </c>
      <c r="N24" s="27" t="str">
        <f t="shared" si="6"/>
        <v>Silver</v>
      </c>
      <c r="O24" s="3">
        <f t="shared" si="7"/>
        <v>173.41278</v>
      </c>
      <c r="P24" s="3">
        <f t="shared" si="8"/>
        <v>57.804260000000006</v>
      </c>
      <c r="Q24" s="3">
        <f t="shared" si="9"/>
        <v>0</v>
      </c>
      <c r="R24" s="7">
        <f t="shared" si="10"/>
        <v>231.21704</v>
      </c>
    </row>
    <row r="25" spans="1:18" x14ac:dyDescent="0.2">
      <c r="A25" s="23" t="s">
        <v>141</v>
      </c>
      <c r="B25" s="23" t="s">
        <v>142</v>
      </c>
      <c r="C25" s="24">
        <v>45816</v>
      </c>
      <c r="D25" s="25" t="str">
        <f t="shared" si="0"/>
        <v>Jun</v>
      </c>
      <c r="E25" s="23" t="s">
        <v>98</v>
      </c>
      <c r="F25" s="26">
        <v>44696</v>
      </c>
      <c r="G25" s="26">
        <v>40655</v>
      </c>
      <c r="H25" s="3">
        <f t="shared" si="1"/>
        <v>1016.375</v>
      </c>
      <c r="I25" s="3">
        <f t="shared" si="2"/>
        <v>853.75500000000011</v>
      </c>
      <c r="J25" s="7">
        <f t="shared" si="3"/>
        <v>5911.13</v>
      </c>
      <c r="K25" s="26">
        <v>2347</v>
      </c>
      <c r="L25" s="7">
        <f t="shared" si="4"/>
        <v>8258.130000000001</v>
      </c>
      <c r="M25" s="7">
        <f t="shared" si="5"/>
        <v>2347</v>
      </c>
      <c r="N25" s="27" t="str">
        <f t="shared" si="6"/>
        <v>Gold</v>
      </c>
      <c r="O25" s="3">
        <f t="shared" si="7"/>
        <v>236.4452</v>
      </c>
      <c r="P25" s="3">
        <f t="shared" si="8"/>
        <v>0</v>
      </c>
      <c r="Q25" s="3">
        <f t="shared" si="9"/>
        <v>210.48449000000002</v>
      </c>
      <c r="R25" s="7">
        <f t="shared" si="10"/>
        <v>446.92969000000005</v>
      </c>
    </row>
    <row r="26" spans="1:18" x14ac:dyDescent="0.2">
      <c r="A26" s="23" t="s">
        <v>143</v>
      </c>
      <c r="B26" s="23" t="s">
        <v>144</v>
      </c>
      <c r="C26" s="24">
        <v>45828</v>
      </c>
      <c r="D26" s="25" t="str">
        <f t="shared" si="0"/>
        <v>Jun</v>
      </c>
      <c r="E26" s="23" t="s">
        <v>105</v>
      </c>
      <c r="F26" s="26">
        <v>54447</v>
      </c>
      <c r="G26" s="26">
        <v>48055</v>
      </c>
      <c r="H26" s="3">
        <f t="shared" si="1"/>
        <v>1201.375</v>
      </c>
      <c r="I26" s="3">
        <f t="shared" si="2"/>
        <v>864.9899999999999</v>
      </c>
      <c r="J26" s="7">
        <f t="shared" si="3"/>
        <v>8458.3649999999998</v>
      </c>
      <c r="K26" s="26">
        <v>1740</v>
      </c>
      <c r="L26" s="7">
        <f t="shared" si="4"/>
        <v>10198.365</v>
      </c>
      <c r="M26" s="7">
        <f t="shared" si="5"/>
        <v>1740</v>
      </c>
      <c r="N26" s="27" t="str">
        <f t="shared" si="6"/>
        <v>Silver</v>
      </c>
      <c r="O26" s="3">
        <f t="shared" si="7"/>
        <v>253.75094999999999</v>
      </c>
      <c r="P26" s="3">
        <f t="shared" si="8"/>
        <v>84.583650000000006</v>
      </c>
      <c r="Q26" s="3">
        <f t="shared" si="9"/>
        <v>0</v>
      </c>
      <c r="R26" s="7">
        <f t="shared" si="10"/>
        <v>338.33460000000002</v>
      </c>
    </row>
    <row r="27" spans="1:18" x14ac:dyDescent="0.2">
      <c r="A27" s="23" t="s">
        <v>145</v>
      </c>
      <c r="B27" s="23" t="s">
        <v>146</v>
      </c>
      <c r="C27" s="24">
        <v>45833</v>
      </c>
      <c r="D27" s="25" t="str">
        <f t="shared" si="0"/>
        <v>Jun</v>
      </c>
      <c r="E27" s="23" t="s">
        <v>98</v>
      </c>
      <c r="F27" s="26">
        <v>45674</v>
      </c>
      <c r="G27" s="26">
        <v>42806</v>
      </c>
      <c r="H27" s="3">
        <f t="shared" si="1"/>
        <v>1070.1500000000001</v>
      </c>
      <c r="I27" s="3">
        <f t="shared" si="2"/>
        <v>898.92600000000004</v>
      </c>
      <c r="J27" s="7">
        <f t="shared" si="3"/>
        <v>4837.076</v>
      </c>
      <c r="K27" s="26">
        <v>2689</v>
      </c>
      <c r="L27" s="7">
        <f t="shared" si="4"/>
        <v>7526.076</v>
      </c>
      <c r="M27" s="7">
        <f t="shared" si="5"/>
        <v>2689</v>
      </c>
      <c r="N27" s="27" t="str">
        <f t="shared" si="6"/>
        <v>Platinum</v>
      </c>
      <c r="O27" s="3">
        <f t="shared" si="7"/>
        <v>241.85380000000001</v>
      </c>
      <c r="P27" s="3">
        <f t="shared" si="8"/>
        <v>0</v>
      </c>
      <c r="Q27" s="3">
        <f t="shared" si="9"/>
        <v>210.48449000000002</v>
      </c>
      <c r="R27" s="7">
        <f t="shared" si="10"/>
        <v>452.33829000000003</v>
      </c>
    </row>
    <row r="28" spans="1:18" x14ac:dyDescent="0.2">
      <c r="A28" s="23" t="s">
        <v>147</v>
      </c>
      <c r="B28" s="23" t="s">
        <v>148</v>
      </c>
      <c r="C28" s="24">
        <v>45835</v>
      </c>
      <c r="D28" s="25" t="str">
        <f t="shared" si="0"/>
        <v>Jun</v>
      </c>
      <c r="E28" s="23" t="s">
        <v>105</v>
      </c>
      <c r="F28" s="26">
        <v>35846</v>
      </c>
      <c r="G28" s="26">
        <v>31669</v>
      </c>
      <c r="H28" s="3">
        <f t="shared" si="1"/>
        <v>791.72500000000002</v>
      </c>
      <c r="I28" s="3">
        <f t="shared" si="2"/>
        <v>570.04199999999992</v>
      </c>
      <c r="J28" s="7">
        <f t="shared" si="3"/>
        <v>5538.7669999999998</v>
      </c>
      <c r="K28" s="26">
        <v>2598</v>
      </c>
      <c r="L28" s="7">
        <f t="shared" si="4"/>
        <v>8136.7669999999998</v>
      </c>
      <c r="M28" s="7">
        <f t="shared" si="5"/>
        <v>2598</v>
      </c>
      <c r="N28" s="27" t="str">
        <f t="shared" si="6"/>
        <v>Platinum</v>
      </c>
      <c r="O28" s="3">
        <f t="shared" si="7"/>
        <v>276.93835000000001</v>
      </c>
      <c r="P28" s="3">
        <f t="shared" si="8"/>
        <v>0</v>
      </c>
      <c r="Q28" s="3">
        <f t="shared" si="9"/>
        <v>210.48449000000002</v>
      </c>
      <c r="R28" s="7">
        <f t="shared" si="10"/>
        <v>487.42284000000006</v>
      </c>
    </row>
    <row r="29" spans="1:18" x14ac:dyDescent="0.2">
      <c r="A29" s="23" t="s">
        <v>149</v>
      </c>
      <c r="B29" s="23" t="s">
        <v>150</v>
      </c>
      <c r="C29" s="24">
        <v>45844</v>
      </c>
      <c r="D29" s="25" t="str">
        <f t="shared" si="0"/>
        <v>Jul</v>
      </c>
      <c r="E29" s="23" t="s">
        <v>105</v>
      </c>
      <c r="F29" s="26">
        <v>43159</v>
      </c>
      <c r="G29" s="26">
        <v>38626</v>
      </c>
      <c r="H29" s="3">
        <f t="shared" si="1"/>
        <v>965.65000000000009</v>
      </c>
      <c r="I29" s="3">
        <f t="shared" si="2"/>
        <v>695.26799999999992</v>
      </c>
      <c r="J29" s="7">
        <f t="shared" si="3"/>
        <v>6193.9179999999997</v>
      </c>
      <c r="K29" s="26">
        <v>2690</v>
      </c>
      <c r="L29" s="7">
        <f t="shared" si="4"/>
        <v>8883.9179999999997</v>
      </c>
      <c r="M29" s="7">
        <f t="shared" si="5"/>
        <v>2690</v>
      </c>
      <c r="N29" s="27" t="str">
        <f t="shared" si="6"/>
        <v>Platinum</v>
      </c>
      <c r="O29" s="3">
        <f t="shared" si="7"/>
        <v>309.69589999999999</v>
      </c>
      <c r="P29" s="3">
        <f t="shared" si="8"/>
        <v>0</v>
      </c>
      <c r="Q29" s="3">
        <f t="shared" si="9"/>
        <v>101.72009</v>
      </c>
      <c r="R29" s="7">
        <f t="shared" si="10"/>
        <v>411.41598999999997</v>
      </c>
    </row>
    <row r="30" spans="1:18" x14ac:dyDescent="0.2">
      <c r="A30" s="23" t="s">
        <v>151</v>
      </c>
      <c r="B30" s="23" t="s">
        <v>152</v>
      </c>
      <c r="C30" s="24">
        <v>45849</v>
      </c>
      <c r="D30" s="25" t="str">
        <f t="shared" si="0"/>
        <v>Jul</v>
      </c>
      <c r="E30" s="23" t="s">
        <v>105</v>
      </c>
      <c r="F30" s="26">
        <v>33094</v>
      </c>
      <c r="G30" s="26">
        <v>29550</v>
      </c>
      <c r="H30" s="3">
        <f t="shared" si="1"/>
        <v>738.75</v>
      </c>
      <c r="I30" s="3">
        <f t="shared" si="2"/>
        <v>531.9</v>
      </c>
      <c r="J30" s="7">
        <f t="shared" si="3"/>
        <v>4814.6499999999996</v>
      </c>
      <c r="K30" s="26">
        <v>2363</v>
      </c>
      <c r="L30" s="7">
        <f t="shared" si="4"/>
        <v>7177.65</v>
      </c>
      <c r="M30" s="7">
        <f t="shared" si="5"/>
        <v>2363</v>
      </c>
      <c r="N30" s="27" t="str">
        <f t="shared" si="6"/>
        <v>Gold</v>
      </c>
      <c r="O30" s="3">
        <f t="shared" si="7"/>
        <v>192.58599999999998</v>
      </c>
      <c r="P30" s="3">
        <f t="shared" si="8"/>
        <v>0</v>
      </c>
      <c r="Q30" s="3">
        <f t="shared" si="9"/>
        <v>101.72009</v>
      </c>
      <c r="R30" s="7">
        <f t="shared" si="10"/>
        <v>294.30608999999998</v>
      </c>
    </row>
    <row r="31" spans="1:18" x14ac:dyDescent="0.2">
      <c r="A31" s="23" t="s">
        <v>153</v>
      </c>
      <c r="B31" s="23" t="s">
        <v>154</v>
      </c>
      <c r="C31" s="24">
        <v>45853</v>
      </c>
      <c r="D31" s="25" t="str">
        <f t="shared" si="0"/>
        <v>Jul</v>
      </c>
      <c r="E31" s="23" t="s">
        <v>108</v>
      </c>
      <c r="F31" s="26">
        <v>29775</v>
      </c>
      <c r="G31" s="26">
        <v>27404</v>
      </c>
      <c r="H31" s="3">
        <f t="shared" si="1"/>
        <v>685.1</v>
      </c>
      <c r="I31" s="3">
        <f t="shared" si="2"/>
        <v>685.1</v>
      </c>
      <c r="J31" s="7">
        <f t="shared" si="3"/>
        <v>3741.2</v>
      </c>
      <c r="K31" s="26">
        <v>2123</v>
      </c>
      <c r="L31" s="7">
        <f t="shared" si="4"/>
        <v>5864.2</v>
      </c>
      <c r="M31" s="7">
        <f t="shared" si="5"/>
        <v>2123</v>
      </c>
      <c r="N31" s="27" t="str">
        <f t="shared" si="6"/>
        <v>Gold</v>
      </c>
      <c r="O31" s="3">
        <f t="shared" si="7"/>
        <v>149.648</v>
      </c>
      <c r="P31" s="3">
        <f t="shared" si="8"/>
        <v>0</v>
      </c>
      <c r="Q31" s="3">
        <f t="shared" si="9"/>
        <v>101.72009</v>
      </c>
      <c r="R31" s="7">
        <f t="shared" si="10"/>
        <v>251.36809</v>
      </c>
    </row>
    <row r="32" spans="1:18" x14ac:dyDescent="0.2">
      <c r="A32" s="23" t="s">
        <v>155</v>
      </c>
      <c r="B32" s="23" t="s">
        <v>156</v>
      </c>
      <c r="C32" s="24">
        <v>45860</v>
      </c>
      <c r="D32" s="25" t="str">
        <f t="shared" si="0"/>
        <v>Jul</v>
      </c>
      <c r="E32" s="23" t="s">
        <v>108</v>
      </c>
      <c r="F32" s="26">
        <v>40236</v>
      </c>
      <c r="G32" s="26">
        <v>36465</v>
      </c>
      <c r="H32" s="3">
        <f t="shared" si="1"/>
        <v>911.625</v>
      </c>
      <c r="I32" s="3">
        <f t="shared" si="2"/>
        <v>911.625</v>
      </c>
      <c r="J32" s="7">
        <f t="shared" si="3"/>
        <v>5594.25</v>
      </c>
      <c r="K32" s="26">
        <v>1859</v>
      </c>
      <c r="L32" s="7">
        <f t="shared" si="4"/>
        <v>7453.25</v>
      </c>
      <c r="M32" s="7">
        <f t="shared" si="5"/>
        <v>1859</v>
      </c>
      <c r="N32" s="27" t="str">
        <f t="shared" si="6"/>
        <v>Gold</v>
      </c>
      <c r="O32" s="3">
        <f t="shared" si="7"/>
        <v>223.77</v>
      </c>
      <c r="P32" s="3">
        <f t="shared" si="8"/>
        <v>0</v>
      </c>
      <c r="Q32" s="3">
        <f t="shared" si="9"/>
        <v>101.72009</v>
      </c>
      <c r="R32" s="7">
        <f t="shared" si="10"/>
        <v>325.49009000000001</v>
      </c>
    </row>
    <row r="33" spans="1:18" x14ac:dyDescent="0.2">
      <c r="A33" s="23" t="s">
        <v>157</v>
      </c>
      <c r="B33" s="23" t="s">
        <v>158</v>
      </c>
      <c r="C33" s="24">
        <v>45873</v>
      </c>
      <c r="D33" s="25" t="str">
        <f t="shared" si="0"/>
        <v>Aug</v>
      </c>
      <c r="E33" s="23" t="s">
        <v>98</v>
      </c>
      <c r="F33" s="26">
        <v>35362</v>
      </c>
      <c r="G33" s="26">
        <v>31254</v>
      </c>
      <c r="H33" s="3">
        <f t="shared" si="1"/>
        <v>781.35</v>
      </c>
      <c r="I33" s="3">
        <f t="shared" si="2"/>
        <v>656.33400000000006</v>
      </c>
      <c r="J33" s="7">
        <f t="shared" si="3"/>
        <v>5545.6840000000002</v>
      </c>
      <c r="K33" s="26">
        <v>843</v>
      </c>
      <c r="L33" s="7">
        <f t="shared" si="4"/>
        <v>6388.6840000000002</v>
      </c>
      <c r="M33" s="7">
        <f t="shared" si="5"/>
        <v>843</v>
      </c>
      <c r="N33" s="27" t="str">
        <f t="shared" si="6"/>
        <v>Bronze</v>
      </c>
      <c r="O33" s="3">
        <f t="shared" si="7"/>
        <v>110.91368</v>
      </c>
      <c r="P33" s="3">
        <f t="shared" si="8"/>
        <v>0</v>
      </c>
      <c r="Q33" s="3">
        <f t="shared" si="9"/>
        <v>0</v>
      </c>
      <c r="R33" s="7">
        <f t="shared" si="10"/>
        <v>110.91368</v>
      </c>
    </row>
    <row r="34" spans="1:18" x14ac:dyDescent="0.2">
      <c r="A34" s="23" t="s">
        <v>159</v>
      </c>
      <c r="B34" s="23" t="s">
        <v>160</v>
      </c>
      <c r="C34" s="24">
        <v>45886</v>
      </c>
      <c r="D34" s="25" t="str">
        <f t="shared" si="0"/>
        <v>Aug</v>
      </c>
      <c r="E34" s="23" t="s">
        <v>105</v>
      </c>
      <c r="F34" s="26">
        <v>46128</v>
      </c>
      <c r="G34" s="26">
        <v>42975</v>
      </c>
      <c r="H34" s="3">
        <f t="shared" si="1"/>
        <v>1074.375</v>
      </c>
      <c r="I34" s="3">
        <f t="shared" si="2"/>
        <v>773.55</v>
      </c>
      <c r="J34" s="7">
        <f t="shared" si="3"/>
        <v>5000.9250000000002</v>
      </c>
      <c r="K34" s="26">
        <v>823</v>
      </c>
      <c r="L34" s="7">
        <f t="shared" si="4"/>
        <v>5823.9250000000002</v>
      </c>
      <c r="M34" s="7">
        <f t="shared" si="5"/>
        <v>823</v>
      </c>
      <c r="N34" s="27" t="str">
        <f t="shared" si="6"/>
        <v>Bronze</v>
      </c>
      <c r="O34" s="3">
        <f t="shared" si="7"/>
        <v>100.0185</v>
      </c>
      <c r="P34" s="3">
        <f t="shared" si="8"/>
        <v>0</v>
      </c>
      <c r="Q34" s="3">
        <f t="shared" si="9"/>
        <v>0</v>
      </c>
      <c r="R34" s="7">
        <f t="shared" si="10"/>
        <v>100.0185</v>
      </c>
    </row>
    <row r="35" spans="1:18" x14ac:dyDescent="0.2">
      <c r="A35" s="23" t="s">
        <v>161</v>
      </c>
      <c r="B35" s="23" t="s">
        <v>162</v>
      </c>
      <c r="C35" s="24">
        <v>45901</v>
      </c>
      <c r="D35" s="25" t="str">
        <f t="shared" si="0"/>
        <v>Sep</v>
      </c>
      <c r="E35" s="23" t="s">
        <v>108</v>
      </c>
      <c r="F35" s="26">
        <v>38621</v>
      </c>
      <c r="G35" s="26">
        <v>35118</v>
      </c>
      <c r="H35" s="3">
        <f t="shared" si="1"/>
        <v>877.95</v>
      </c>
      <c r="I35" s="3">
        <f t="shared" si="2"/>
        <v>877.95</v>
      </c>
      <c r="J35" s="7">
        <f t="shared" si="3"/>
        <v>5258.9</v>
      </c>
      <c r="K35" s="26">
        <v>1029</v>
      </c>
      <c r="L35" s="7">
        <f t="shared" si="4"/>
        <v>6287.9</v>
      </c>
      <c r="M35" s="7">
        <f t="shared" si="5"/>
        <v>1029</v>
      </c>
      <c r="N35" s="27" t="str">
        <f t="shared" si="6"/>
        <v>Bronze</v>
      </c>
      <c r="O35" s="3">
        <f t="shared" si="7"/>
        <v>105.178</v>
      </c>
      <c r="P35" s="3">
        <f t="shared" si="8"/>
        <v>0</v>
      </c>
      <c r="Q35" s="3">
        <f t="shared" si="9"/>
        <v>0</v>
      </c>
      <c r="R35" s="7">
        <f t="shared" si="10"/>
        <v>105.178</v>
      </c>
    </row>
    <row r="36" spans="1:18" x14ac:dyDescent="0.2">
      <c r="A36" s="23" t="s">
        <v>163</v>
      </c>
      <c r="B36" s="23" t="s">
        <v>164</v>
      </c>
      <c r="C36" s="24">
        <v>45904</v>
      </c>
      <c r="D36" s="25" t="str">
        <f t="shared" ref="D36:D53" si="11">TEXT(C36,"mmm")</f>
        <v>Sep</v>
      </c>
      <c r="E36" s="23" t="s">
        <v>105</v>
      </c>
      <c r="F36" s="26">
        <v>30582</v>
      </c>
      <c r="G36" s="26">
        <v>27925</v>
      </c>
      <c r="H36" s="3">
        <f t="shared" ref="H36:H53" si="12">G36*HoldbackRate</f>
        <v>698.125</v>
      </c>
      <c r="I36" s="3">
        <f t="shared" ref="I36:I53" si="13">G36*IF(E36="Toyota",IncentiveRate_Toyota,IF(E36="Honda",IncentiveRate_Honda,IF(E36="Ford",IncentiveRate_Ford,0)))</f>
        <v>502.65</v>
      </c>
      <c r="J36" s="7">
        <f t="shared" ref="J36:J53" si="14">F36-G36+H36+I36</f>
        <v>3857.7750000000001</v>
      </c>
      <c r="K36" s="26">
        <v>2498</v>
      </c>
      <c r="L36" s="7">
        <f t="shared" ref="L36:L53" si="15">J36+K36</f>
        <v>6355.7749999999996</v>
      </c>
      <c r="M36" s="7">
        <f t="shared" ref="M36:M53" si="16">K36</f>
        <v>2498</v>
      </c>
      <c r="N36" s="27" t="str">
        <f t="shared" ref="N36:N53" si="17">IF(M36&gt;=TierMinPVR_Platinum,"Platinum",IF(M36&gt;=TierMinPVR_Gold,"Gold",IF(M36&gt;=TierMinPVR_Silver,"Silver","Bronze")))</f>
        <v>Platinum</v>
      </c>
      <c r="O36" s="3">
        <f t="shared" ref="O36:O53" si="18">J36*VLOOKUP(N36,CommissionTable,3,FALSE)</f>
        <v>192.88875000000002</v>
      </c>
      <c r="P36" s="3">
        <f t="shared" ref="P36:P53" si="19">IF(O36&gt;VLOOKUP(N36,CommissionTable,5,FALSE),J36*VLOOKUP(N36,CommissionTable,4,FALSE),0)</f>
        <v>0</v>
      </c>
      <c r="Q36" s="3">
        <f t="shared" ref="Q36:Q53" si="20">IF(VLOOKUP(N36,CommissionTable,3,FALSE)&gt;0.03,SUMIFS($J$4:$J$53,$D$4:$D$53,D36,$C$4:$C$53,"&gt;"&amp;DATE(2025,1,1))*0.005,0)</f>
        <v>136.26320000000001</v>
      </c>
      <c r="R36" s="7">
        <f t="shared" ref="R36:R53" si="21">O36+P36+Q36</f>
        <v>329.15195000000006</v>
      </c>
    </row>
    <row r="37" spans="1:18" x14ac:dyDescent="0.2">
      <c r="A37" s="23" t="s">
        <v>165</v>
      </c>
      <c r="B37" s="23" t="s">
        <v>166</v>
      </c>
      <c r="C37" s="24">
        <v>45906</v>
      </c>
      <c r="D37" s="25" t="str">
        <f t="shared" si="11"/>
        <v>Sep</v>
      </c>
      <c r="E37" s="23" t="s">
        <v>105</v>
      </c>
      <c r="F37" s="26">
        <v>45290</v>
      </c>
      <c r="G37" s="26">
        <v>42225</v>
      </c>
      <c r="H37" s="3">
        <f t="shared" si="12"/>
        <v>1055.625</v>
      </c>
      <c r="I37" s="3">
        <f t="shared" si="13"/>
        <v>760.05</v>
      </c>
      <c r="J37" s="7">
        <f t="shared" si="14"/>
        <v>4880.6750000000002</v>
      </c>
      <c r="K37" s="26">
        <v>1666</v>
      </c>
      <c r="L37" s="7">
        <f t="shared" si="15"/>
        <v>6546.6750000000002</v>
      </c>
      <c r="M37" s="7">
        <f t="shared" si="16"/>
        <v>1666</v>
      </c>
      <c r="N37" s="27" t="str">
        <f t="shared" si="17"/>
        <v>Silver</v>
      </c>
      <c r="O37" s="3">
        <f t="shared" si="18"/>
        <v>146.42025000000001</v>
      </c>
      <c r="P37" s="3">
        <f t="shared" si="19"/>
        <v>0</v>
      </c>
      <c r="Q37" s="3">
        <f t="shared" si="20"/>
        <v>0</v>
      </c>
      <c r="R37" s="7">
        <f t="shared" si="21"/>
        <v>146.42025000000001</v>
      </c>
    </row>
    <row r="38" spans="1:18" x14ac:dyDescent="0.2">
      <c r="A38" s="23" t="s">
        <v>167</v>
      </c>
      <c r="B38" s="23" t="s">
        <v>168</v>
      </c>
      <c r="C38" s="24">
        <v>45924</v>
      </c>
      <c r="D38" s="25" t="str">
        <f t="shared" si="11"/>
        <v>Sep</v>
      </c>
      <c r="E38" s="23" t="s">
        <v>98</v>
      </c>
      <c r="F38" s="26">
        <v>33354</v>
      </c>
      <c r="G38" s="26">
        <v>30276</v>
      </c>
      <c r="H38" s="3">
        <f t="shared" si="12"/>
        <v>756.90000000000009</v>
      </c>
      <c r="I38" s="3">
        <f t="shared" si="13"/>
        <v>635.79600000000005</v>
      </c>
      <c r="J38" s="7">
        <f t="shared" si="14"/>
        <v>4470.6959999999999</v>
      </c>
      <c r="K38" s="26">
        <v>1352</v>
      </c>
      <c r="L38" s="7">
        <f t="shared" si="15"/>
        <v>5822.6959999999999</v>
      </c>
      <c r="M38" s="7">
        <f t="shared" si="16"/>
        <v>1352</v>
      </c>
      <c r="N38" s="27" t="str">
        <f t="shared" si="17"/>
        <v>Silver</v>
      </c>
      <c r="O38" s="3">
        <f t="shared" si="18"/>
        <v>134.12088</v>
      </c>
      <c r="P38" s="3">
        <f t="shared" si="19"/>
        <v>0</v>
      </c>
      <c r="Q38" s="3">
        <f t="shared" si="20"/>
        <v>0</v>
      </c>
      <c r="R38" s="7">
        <f t="shared" si="21"/>
        <v>134.12088</v>
      </c>
    </row>
    <row r="39" spans="1:18" x14ac:dyDescent="0.2">
      <c r="A39" s="23" t="s">
        <v>169</v>
      </c>
      <c r="B39" s="23" t="s">
        <v>170</v>
      </c>
      <c r="C39" s="24">
        <v>45925</v>
      </c>
      <c r="D39" s="25" t="str">
        <f t="shared" si="11"/>
        <v>Sep</v>
      </c>
      <c r="E39" s="23" t="s">
        <v>98</v>
      </c>
      <c r="F39" s="26">
        <v>44635</v>
      </c>
      <c r="G39" s="26">
        <v>41722</v>
      </c>
      <c r="H39" s="3">
        <f t="shared" si="12"/>
        <v>1043.05</v>
      </c>
      <c r="I39" s="3">
        <f t="shared" si="13"/>
        <v>876.16200000000003</v>
      </c>
      <c r="J39" s="7">
        <f t="shared" si="14"/>
        <v>4832.2120000000004</v>
      </c>
      <c r="K39" s="26">
        <v>2582</v>
      </c>
      <c r="L39" s="7">
        <f t="shared" si="15"/>
        <v>7414.2120000000004</v>
      </c>
      <c r="M39" s="7">
        <f t="shared" si="16"/>
        <v>2582</v>
      </c>
      <c r="N39" s="27" t="str">
        <f t="shared" si="17"/>
        <v>Platinum</v>
      </c>
      <c r="O39" s="3">
        <f t="shared" si="18"/>
        <v>241.61060000000003</v>
      </c>
      <c r="P39" s="3">
        <f t="shared" si="19"/>
        <v>0</v>
      </c>
      <c r="Q39" s="3">
        <f t="shared" si="20"/>
        <v>136.26320000000001</v>
      </c>
      <c r="R39" s="7">
        <f t="shared" si="21"/>
        <v>377.87380000000007</v>
      </c>
    </row>
    <row r="40" spans="1:18" x14ac:dyDescent="0.2">
      <c r="A40" s="23" t="s">
        <v>171</v>
      </c>
      <c r="B40" s="23" t="s">
        <v>172</v>
      </c>
      <c r="C40" s="24">
        <v>45925</v>
      </c>
      <c r="D40" s="25" t="str">
        <f t="shared" si="11"/>
        <v>Sep</v>
      </c>
      <c r="E40" s="23" t="s">
        <v>98</v>
      </c>
      <c r="F40" s="26">
        <v>32207</v>
      </c>
      <c r="G40" s="26">
        <v>29617</v>
      </c>
      <c r="H40" s="3">
        <f t="shared" si="12"/>
        <v>740.42500000000007</v>
      </c>
      <c r="I40" s="3">
        <f t="shared" si="13"/>
        <v>621.95699999999999</v>
      </c>
      <c r="J40" s="7">
        <f t="shared" si="14"/>
        <v>3952.3820000000001</v>
      </c>
      <c r="K40" s="26">
        <v>2739</v>
      </c>
      <c r="L40" s="7">
        <f t="shared" si="15"/>
        <v>6691.3819999999996</v>
      </c>
      <c r="M40" s="7">
        <f t="shared" si="16"/>
        <v>2739</v>
      </c>
      <c r="N40" s="27" t="str">
        <f t="shared" si="17"/>
        <v>Platinum</v>
      </c>
      <c r="O40" s="3">
        <f t="shared" si="18"/>
        <v>197.6191</v>
      </c>
      <c r="P40" s="3">
        <f t="shared" si="19"/>
        <v>0</v>
      </c>
      <c r="Q40" s="3">
        <f t="shared" si="20"/>
        <v>136.26320000000001</v>
      </c>
      <c r="R40" s="7">
        <f t="shared" si="21"/>
        <v>333.88229999999999</v>
      </c>
    </row>
    <row r="41" spans="1:18" x14ac:dyDescent="0.2">
      <c r="A41" s="23" t="s">
        <v>173</v>
      </c>
      <c r="B41" s="23" t="s">
        <v>174</v>
      </c>
      <c r="C41" s="24">
        <v>45933</v>
      </c>
      <c r="D41" s="25" t="str">
        <f t="shared" si="11"/>
        <v>Oct</v>
      </c>
      <c r="E41" s="23" t="s">
        <v>98</v>
      </c>
      <c r="F41" s="26">
        <v>51983</v>
      </c>
      <c r="G41" s="26">
        <v>47260</v>
      </c>
      <c r="H41" s="3">
        <f t="shared" si="12"/>
        <v>1181.5</v>
      </c>
      <c r="I41" s="3">
        <f t="shared" si="13"/>
        <v>992.46</v>
      </c>
      <c r="J41" s="7">
        <f t="shared" si="14"/>
        <v>6896.96</v>
      </c>
      <c r="K41" s="26">
        <v>941</v>
      </c>
      <c r="L41" s="7">
        <f t="shared" si="15"/>
        <v>7837.96</v>
      </c>
      <c r="M41" s="7">
        <f t="shared" si="16"/>
        <v>941</v>
      </c>
      <c r="N41" s="27" t="str">
        <f t="shared" si="17"/>
        <v>Bronze</v>
      </c>
      <c r="O41" s="3">
        <f t="shared" si="18"/>
        <v>137.9392</v>
      </c>
      <c r="P41" s="3">
        <f t="shared" si="19"/>
        <v>0</v>
      </c>
      <c r="Q41" s="3">
        <f t="shared" si="20"/>
        <v>0</v>
      </c>
      <c r="R41" s="7">
        <f t="shared" si="21"/>
        <v>137.9392</v>
      </c>
    </row>
    <row r="42" spans="1:18" x14ac:dyDescent="0.2">
      <c r="A42" s="23" t="s">
        <v>175</v>
      </c>
      <c r="B42" s="23" t="s">
        <v>176</v>
      </c>
      <c r="C42" s="24">
        <v>45946</v>
      </c>
      <c r="D42" s="25" t="str">
        <f t="shared" si="11"/>
        <v>Oct</v>
      </c>
      <c r="E42" s="23" t="s">
        <v>98</v>
      </c>
      <c r="F42" s="26">
        <v>53710</v>
      </c>
      <c r="G42" s="26">
        <v>48789</v>
      </c>
      <c r="H42" s="3">
        <f t="shared" si="12"/>
        <v>1219.7250000000001</v>
      </c>
      <c r="I42" s="3">
        <f t="shared" si="13"/>
        <v>1024.569</v>
      </c>
      <c r="J42" s="7">
        <f t="shared" si="14"/>
        <v>7165.2939999999999</v>
      </c>
      <c r="K42" s="26">
        <v>1633</v>
      </c>
      <c r="L42" s="7">
        <f t="shared" si="15"/>
        <v>8798.2939999999999</v>
      </c>
      <c r="M42" s="7">
        <f t="shared" si="16"/>
        <v>1633</v>
      </c>
      <c r="N42" s="27" t="str">
        <f t="shared" si="17"/>
        <v>Silver</v>
      </c>
      <c r="O42" s="3">
        <f t="shared" si="18"/>
        <v>214.95881999999997</v>
      </c>
      <c r="P42" s="3">
        <f t="shared" si="19"/>
        <v>71.652940000000001</v>
      </c>
      <c r="Q42" s="3">
        <f t="shared" si="20"/>
        <v>0</v>
      </c>
      <c r="R42" s="7">
        <f t="shared" si="21"/>
        <v>286.61176</v>
      </c>
    </row>
    <row r="43" spans="1:18" x14ac:dyDescent="0.2">
      <c r="A43" s="23" t="s">
        <v>177</v>
      </c>
      <c r="B43" s="23" t="s">
        <v>178</v>
      </c>
      <c r="C43" s="24">
        <v>45948</v>
      </c>
      <c r="D43" s="25" t="str">
        <f t="shared" si="11"/>
        <v>Oct</v>
      </c>
      <c r="E43" s="23" t="s">
        <v>98</v>
      </c>
      <c r="F43" s="26">
        <v>47282</v>
      </c>
      <c r="G43" s="26">
        <v>42232</v>
      </c>
      <c r="H43" s="3">
        <f t="shared" si="12"/>
        <v>1055.8</v>
      </c>
      <c r="I43" s="3">
        <f t="shared" si="13"/>
        <v>886.87200000000007</v>
      </c>
      <c r="J43" s="7">
        <f t="shared" si="14"/>
        <v>6992.6720000000005</v>
      </c>
      <c r="K43" s="26">
        <v>945</v>
      </c>
      <c r="L43" s="7">
        <f t="shared" si="15"/>
        <v>7937.6720000000005</v>
      </c>
      <c r="M43" s="7">
        <f t="shared" si="16"/>
        <v>945</v>
      </c>
      <c r="N43" s="27" t="str">
        <f t="shared" si="17"/>
        <v>Bronze</v>
      </c>
      <c r="O43" s="3">
        <f t="shared" si="18"/>
        <v>139.85344000000001</v>
      </c>
      <c r="P43" s="3">
        <f t="shared" si="19"/>
        <v>0</v>
      </c>
      <c r="Q43" s="3">
        <f t="shared" si="20"/>
        <v>0</v>
      </c>
      <c r="R43" s="7">
        <f t="shared" si="21"/>
        <v>139.85344000000001</v>
      </c>
    </row>
    <row r="44" spans="1:18" x14ac:dyDescent="0.2">
      <c r="A44" s="23" t="s">
        <v>179</v>
      </c>
      <c r="B44" s="23" t="s">
        <v>180</v>
      </c>
      <c r="C44" s="24">
        <v>45965</v>
      </c>
      <c r="D44" s="25" t="str">
        <f t="shared" si="11"/>
        <v>Nov</v>
      </c>
      <c r="E44" s="23" t="s">
        <v>98</v>
      </c>
      <c r="F44" s="26">
        <v>52299</v>
      </c>
      <c r="G44" s="26">
        <v>46886</v>
      </c>
      <c r="H44" s="3">
        <f t="shared" si="12"/>
        <v>1172.1500000000001</v>
      </c>
      <c r="I44" s="3">
        <f t="shared" si="13"/>
        <v>984.60600000000011</v>
      </c>
      <c r="J44" s="7">
        <f t="shared" si="14"/>
        <v>7569.7559999999994</v>
      </c>
      <c r="K44" s="26">
        <v>1257</v>
      </c>
      <c r="L44" s="7">
        <f t="shared" si="15"/>
        <v>8826.7559999999994</v>
      </c>
      <c r="M44" s="7">
        <f t="shared" si="16"/>
        <v>1257</v>
      </c>
      <c r="N44" s="27" t="str">
        <f t="shared" si="17"/>
        <v>Silver</v>
      </c>
      <c r="O44" s="3">
        <f t="shared" si="18"/>
        <v>227.09267999999997</v>
      </c>
      <c r="P44" s="3">
        <f t="shared" si="19"/>
        <v>75.697559999999996</v>
      </c>
      <c r="Q44" s="3">
        <f t="shared" si="20"/>
        <v>0</v>
      </c>
      <c r="R44" s="7">
        <f t="shared" si="21"/>
        <v>302.79023999999998</v>
      </c>
    </row>
    <row r="45" spans="1:18" x14ac:dyDescent="0.2">
      <c r="A45" s="23" t="s">
        <v>181</v>
      </c>
      <c r="B45" s="23" t="s">
        <v>182</v>
      </c>
      <c r="C45" s="24">
        <v>45971</v>
      </c>
      <c r="D45" s="25" t="str">
        <f t="shared" si="11"/>
        <v>Nov</v>
      </c>
      <c r="E45" s="23" t="s">
        <v>108</v>
      </c>
      <c r="F45" s="26">
        <v>44635</v>
      </c>
      <c r="G45" s="26">
        <v>40909</v>
      </c>
      <c r="H45" s="3">
        <f t="shared" si="12"/>
        <v>1022.725</v>
      </c>
      <c r="I45" s="3">
        <f t="shared" si="13"/>
        <v>1022.725</v>
      </c>
      <c r="J45" s="7">
        <f t="shared" si="14"/>
        <v>5771.4500000000007</v>
      </c>
      <c r="K45" s="26">
        <v>1113</v>
      </c>
      <c r="L45" s="7">
        <f t="shared" si="15"/>
        <v>6884.4500000000007</v>
      </c>
      <c r="M45" s="7">
        <f t="shared" si="16"/>
        <v>1113</v>
      </c>
      <c r="N45" s="27" t="str">
        <f t="shared" si="17"/>
        <v>Bronze</v>
      </c>
      <c r="O45" s="3">
        <f t="shared" si="18"/>
        <v>115.42900000000002</v>
      </c>
      <c r="P45" s="3">
        <f t="shared" si="19"/>
        <v>0</v>
      </c>
      <c r="Q45" s="3">
        <f t="shared" si="20"/>
        <v>0</v>
      </c>
      <c r="R45" s="7">
        <f t="shared" si="21"/>
        <v>115.42900000000002</v>
      </c>
    </row>
    <row r="46" spans="1:18" x14ac:dyDescent="0.2">
      <c r="A46" s="23" t="s">
        <v>183</v>
      </c>
      <c r="B46" s="23" t="s">
        <v>184</v>
      </c>
      <c r="C46" s="24">
        <v>45975</v>
      </c>
      <c r="D46" s="25" t="str">
        <f t="shared" si="11"/>
        <v>Nov</v>
      </c>
      <c r="E46" s="23" t="s">
        <v>108</v>
      </c>
      <c r="F46" s="26">
        <v>30081</v>
      </c>
      <c r="G46" s="26">
        <v>27165</v>
      </c>
      <c r="H46" s="3">
        <f t="shared" si="12"/>
        <v>679.125</v>
      </c>
      <c r="I46" s="3">
        <f t="shared" si="13"/>
        <v>679.125</v>
      </c>
      <c r="J46" s="7">
        <f t="shared" si="14"/>
        <v>4274.25</v>
      </c>
      <c r="K46" s="26">
        <v>2020</v>
      </c>
      <c r="L46" s="7">
        <f t="shared" si="15"/>
        <v>6294.25</v>
      </c>
      <c r="M46" s="7">
        <f t="shared" si="16"/>
        <v>2020</v>
      </c>
      <c r="N46" s="27" t="str">
        <f t="shared" si="17"/>
        <v>Gold</v>
      </c>
      <c r="O46" s="3">
        <f t="shared" si="18"/>
        <v>170.97</v>
      </c>
      <c r="P46" s="3">
        <f t="shared" si="19"/>
        <v>0</v>
      </c>
      <c r="Q46" s="3">
        <f t="shared" si="20"/>
        <v>233.78443999999999</v>
      </c>
      <c r="R46" s="7">
        <f t="shared" si="21"/>
        <v>404.75443999999999</v>
      </c>
    </row>
    <row r="47" spans="1:18" x14ac:dyDescent="0.2">
      <c r="A47" s="23" t="s">
        <v>185</v>
      </c>
      <c r="B47" s="23" t="s">
        <v>186</v>
      </c>
      <c r="C47" s="24">
        <v>45977</v>
      </c>
      <c r="D47" s="25" t="str">
        <f t="shared" si="11"/>
        <v>Nov</v>
      </c>
      <c r="E47" s="23" t="s">
        <v>105</v>
      </c>
      <c r="F47" s="26">
        <v>56989</v>
      </c>
      <c r="G47" s="26">
        <v>53277</v>
      </c>
      <c r="H47" s="3">
        <f t="shared" si="12"/>
        <v>1331.9250000000002</v>
      </c>
      <c r="I47" s="3">
        <f t="shared" si="13"/>
        <v>958.98599999999988</v>
      </c>
      <c r="J47" s="7">
        <f t="shared" si="14"/>
        <v>6002.9110000000001</v>
      </c>
      <c r="K47" s="26">
        <v>1739</v>
      </c>
      <c r="L47" s="7">
        <f t="shared" si="15"/>
        <v>7741.9110000000001</v>
      </c>
      <c r="M47" s="7">
        <f t="shared" si="16"/>
        <v>1739</v>
      </c>
      <c r="N47" s="27" t="str">
        <f t="shared" si="17"/>
        <v>Silver</v>
      </c>
      <c r="O47" s="3">
        <f t="shared" si="18"/>
        <v>180.08733000000001</v>
      </c>
      <c r="P47" s="3">
        <f t="shared" si="19"/>
        <v>60.029110000000003</v>
      </c>
      <c r="Q47" s="3">
        <f t="shared" si="20"/>
        <v>0</v>
      </c>
      <c r="R47" s="7">
        <f t="shared" si="21"/>
        <v>240.11644000000001</v>
      </c>
    </row>
    <row r="48" spans="1:18" x14ac:dyDescent="0.2">
      <c r="A48" s="23" t="s">
        <v>187</v>
      </c>
      <c r="B48" s="23" t="s">
        <v>188</v>
      </c>
      <c r="C48" s="24">
        <v>45981</v>
      </c>
      <c r="D48" s="25" t="str">
        <f t="shared" si="11"/>
        <v>Nov</v>
      </c>
      <c r="E48" s="23" t="s">
        <v>105</v>
      </c>
      <c r="F48" s="26">
        <v>46918</v>
      </c>
      <c r="G48" s="26">
        <v>41829</v>
      </c>
      <c r="H48" s="3">
        <f t="shared" si="12"/>
        <v>1045.7250000000001</v>
      </c>
      <c r="I48" s="3">
        <f t="shared" si="13"/>
        <v>752.92199999999991</v>
      </c>
      <c r="J48" s="7">
        <f t="shared" si="14"/>
        <v>6887.6469999999999</v>
      </c>
      <c r="K48" s="26">
        <v>942</v>
      </c>
      <c r="L48" s="7">
        <f t="shared" si="15"/>
        <v>7829.6469999999999</v>
      </c>
      <c r="M48" s="7">
        <f t="shared" si="16"/>
        <v>942</v>
      </c>
      <c r="N48" s="27" t="str">
        <f t="shared" si="17"/>
        <v>Bronze</v>
      </c>
      <c r="O48" s="3">
        <f t="shared" si="18"/>
        <v>137.75294</v>
      </c>
      <c r="P48" s="3">
        <f t="shared" si="19"/>
        <v>0</v>
      </c>
      <c r="Q48" s="3">
        <f t="shared" si="20"/>
        <v>0</v>
      </c>
      <c r="R48" s="7">
        <f t="shared" si="21"/>
        <v>137.75294</v>
      </c>
    </row>
    <row r="49" spans="1:18" x14ac:dyDescent="0.2">
      <c r="A49" s="23" t="s">
        <v>189</v>
      </c>
      <c r="B49" s="23" t="s">
        <v>190</v>
      </c>
      <c r="C49" s="24">
        <v>45984</v>
      </c>
      <c r="D49" s="25" t="str">
        <f t="shared" si="11"/>
        <v>Nov</v>
      </c>
      <c r="E49" s="23" t="s">
        <v>108</v>
      </c>
      <c r="F49" s="26">
        <v>41746</v>
      </c>
      <c r="G49" s="26">
        <v>37288</v>
      </c>
      <c r="H49" s="3">
        <f t="shared" si="12"/>
        <v>932.2</v>
      </c>
      <c r="I49" s="3">
        <f t="shared" si="13"/>
        <v>932.2</v>
      </c>
      <c r="J49" s="7">
        <f t="shared" si="14"/>
        <v>6322.4</v>
      </c>
      <c r="K49" s="26">
        <v>2006</v>
      </c>
      <c r="L49" s="7">
        <f t="shared" si="15"/>
        <v>8328.4</v>
      </c>
      <c r="M49" s="7">
        <f t="shared" si="16"/>
        <v>2006</v>
      </c>
      <c r="N49" s="27" t="str">
        <f t="shared" si="17"/>
        <v>Gold</v>
      </c>
      <c r="O49" s="3">
        <f t="shared" si="18"/>
        <v>252.89599999999999</v>
      </c>
      <c r="P49" s="3">
        <f t="shared" si="19"/>
        <v>0</v>
      </c>
      <c r="Q49" s="3">
        <f t="shared" si="20"/>
        <v>233.78443999999999</v>
      </c>
      <c r="R49" s="7">
        <f t="shared" si="21"/>
        <v>486.68043999999998</v>
      </c>
    </row>
    <row r="50" spans="1:18" x14ac:dyDescent="0.2">
      <c r="A50" s="23" t="s">
        <v>191</v>
      </c>
      <c r="B50" s="23" t="s">
        <v>192</v>
      </c>
      <c r="C50" s="24">
        <v>45984</v>
      </c>
      <c r="D50" s="25" t="str">
        <f t="shared" si="11"/>
        <v>Nov</v>
      </c>
      <c r="E50" s="23" t="s">
        <v>108</v>
      </c>
      <c r="F50" s="26">
        <v>35196</v>
      </c>
      <c r="G50" s="26">
        <v>32418</v>
      </c>
      <c r="H50" s="3">
        <f t="shared" si="12"/>
        <v>810.45</v>
      </c>
      <c r="I50" s="3">
        <f t="shared" si="13"/>
        <v>810.45</v>
      </c>
      <c r="J50" s="7">
        <f t="shared" si="14"/>
        <v>4398.8999999999996</v>
      </c>
      <c r="K50" s="26">
        <v>2526</v>
      </c>
      <c r="L50" s="7">
        <f t="shared" si="15"/>
        <v>6924.9</v>
      </c>
      <c r="M50" s="7">
        <f t="shared" si="16"/>
        <v>2526</v>
      </c>
      <c r="N50" s="27" t="str">
        <f t="shared" si="17"/>
        <v>Platinum</v>
      </c>
      <c r="O50" s="3">
        <f t="shared" si="18"/>
        <v>219.94499999999999</v>
      </c>
      <c r="P50" s="3">
        <f t="shared" si="19"/>
        <v>0</v>
      </c>
      <c r="Q50" s="3">
        <f t="shared" si="20"/>
        <v>233.78443999999999</v>
      </c>
      <c r="R50" s="7">
        <f t="shared" si="21"/>
        <v>453.72943999999995</v>
      </c>
    </row>
    <row r="51" spans="1:18" x14ac:dyDescent="0.2">
      <c r="A51" s="23" t="s">
        <v>193</v>
      </c>
      <c r="B51" s="23" t="s">
        <v>194</v>
      </c>
      <c r="C51" s="24">
        <v>45985</v>
      </c>
      <c r="D51" s="25" t="str">
        <f t="shared" si="11"/>
        <v>Nov</v>
      </c>
      <c r="E51" s="23" t="s">
        <v>98</v>
      </c>
      <c r="F51" s="26">
        <v>50338</v>
      </c>
      <c r="G51" s="26">
        <v>46969</v>
      </c>
      <c r="H51" s="3">
        <f t="shared" si="12"/>
        <v>1174.2250000000001</v>
      </c>
      <c r="I51" s="3">
        <f t="shared" si="13"/>
        <v>986.34900000000005</v>
      </c>
      <c r="J51" s="7">
        <f t="shared" si="14"/>
        <v>5529.5740000000005</v>
      </c>
      <c r="K51" s="26">
        <v>2337</v>
      </c>
      <c r="L51" s="7">
        <f t="shared" si="15"/>
        <v>7866.5740000000005</v>
      </c>
      <c r="M51" s="7">
        <f t="shared" si="16"/>
        <v>2337</v>
      </c>
      <c r="N51" s="27" t="str">
        <f t="shared" si="17"/>
        <v>Gold</v>
      </c>
      <c r="O51" s="3">
        <f t="shared" si="18"/>
        <v>221.18296000000004</v>
      </c>
      <c r="P51" s="3">
        <f t="shared" si="19"/>
        <v>0</v>
      </c>
      <c r="Q51" s="3">
        <f t="shared" si="20"/>
        <v>233.78443999999999</v>
      </c>
      <c r="R51" s="7">
        <f t="shared" si="21"/>
        <v>454.9674</v>
      </c>
    </row>
    <row r="52" spans="1:18" x14ac:dyDescent="0.2">
      <c r="A52" s="23" t="s">
        <v>195</v>
      </c>
      <c r="B52" s="23" t="s">
        <v>196</v>
      </c>
      <c r="C52" s="24">
        <v>46012</v>
      </c>
      <c r="D52" s="25" t="str">
        <f t="shared" si="11"/>
        <v>Dec</v>
      </c>
      <c r="E52" s="23" t="s">
        <v>98</v>
      </c>
      <c r="F52" s="26">
        <v>35501</v>
      </c>
      <c r="G52" s="26">
        <v>31384</v>
      </c>
      <c r="H52" s="3">
        <f t="shared" si="12"/>
        <v>784.6</v>
      </c>
      <c r="I52" s="3">
        <f t="shared" si="13"/>
        <v>659.06400000000008</v>
      </c>
      <c r="J52" s="7">
        <f t="shared" si="14"/>
        <v>5560.6640000000007</v>
      </c>
      <c r="K52" s="26">
        <v>864</v>
      </c>
      <c r="L52" s="7">
        <f t="shared" si="15"/>
        <v>6424.6640000000007</v>
      </c>
      <c r="M52" s="7">
        <f t="shared" si="16"/>
        <v>864</v>
      </c>
      <c r="N52" s="27" t="str">
        <f t="shared" si="17"/>
        <v>Bronze</v>
      </c>
      <c r="O52" s="3">
        <f t="shared" si="18"/>
        <v>111.21328000000001</v>
      </c>
      <c r="P52" s="3">
        <f t="shared" si="19"/>
        <v>0</v>
      </c>
      <c r="Q52" s="3">
        <f t="shared" si="20"/>
        <v>0</v>
      </c>
      <c r="R52" s="7">
        <f t="shared" si="21"/>
        <v>111.21328000000001</v>
      </c>
    </row>
    <row r="53" spans="1:18" x14ac:dyDescent="0.2">
      <c r="A53" s="23" t="s">
        <v>197</v>
      </c>
      <c r="B53" s="23" t="s">
        <v>198</v>
      </c>
      <c r="C53" s="24">
        <v>46013</v>
      </c>
      <c r="D53" s="25" t="str">
        <f t="shared" si="11"/>
        <v>Dec</v>
      </c>
      <c r="E53" s="23" t="s">
        <v>108</v>
      </c>
      <c r="F53" s="26">
        <v>30339</v>
      </c>
      <c r="G53" s="26">
        <v>27807</v>
      </c>
      <c r="H53" s="3">
        <f t="shared" si="12"/>
        <v>695.17500000000007</v>
      </c>
      <c r="I53" s="3">
        <f t="shared" si="13"/>
        <v>695.17500000000007</v>
      </c>
      <c r="J53" s="7">
        <f t="shared" si="14"/>
        <v>3922.3500000000004</v>
      </c>
      <c r="K53" s="26">
        <v>1150</v>
      </c>
      <c r="L53" s="7">
        <f t="shared" si="15"/>
        <v>5072.3500000000004</v>
      </c>
      <c r="M53" s="7">
        <f t="shared" si="16"/>
        <v>1150</v>
      </c>
      <c r="N53" s="27" t="str">
        <f t="shared" si="17"/>
        <v>Bronze</v>
      </c>
      <c r="O53" s="3">
        <f t="shared" si="18"/>
        <v>78.447000000000003</v>
      </c>
      <c r="P53" s="3">
        <f t="shared" si="19"/>
        <v>0</v>
      </c>
      <c r="Q53" s="3">
        <f t="shared" si="20"/>
        <v>0</v>
      </c>
      <c r="R53" s="7">
        <f t="shared" si="21"/>
        <v>78.447000000000003</v>
      </c>
    </row>
    <row r="56" spans="1:18" ht="16" x14ac:dyDescent="0.2">
      <c r="A56" s="28" t="s">
        <v>199</v>
      </c>
    </row>
    <row r="57" spans="1:18" x14ac:dyDescent="0.2">
      <c r="A57" s="1" t="s">
        <v>81</v>
      </c>
      <c r="B57" s="1" t="s">
        <v>200</v>
      </c>
      <c r="C57" s="1" t="s">
        <v>201</v>
      </c>
      <c r="D57" s="1" t="s">
        <v>202</v>
      </c>
      <c r="E57" s="1" t="s">
        <v>203</v>
      </c>
      <c r="F57" s="1" t="s">
        <v>204</v>
      </c>
      <c r="G57" s="1" t="s">
        <v>205</v>
      </c>
    </row>
    <row r="58" spans="1:18" x14ac:dyDescent="0.2">
      <c r="A58" s="2" t="s">
        <v>2</v>
      </c>
      <c r="B58" s="29">
        <f t="shared" ref="B58:B69" si="22">COUNTIFS($D$4:$D$53,A58)</f>
        <v>3</v>
      </c>
      <c r="C58" s="7">
        <f t="shared" ref="C58:C69" si="23">IFERROR(AVERAGEIFS($J$4:$J$53,$D$4:$D$53,A58),0)</f>
        <v>6511.0960000000005</v>
      </c>
      <c r="D58" s="7">
        <f t="shared" ref="D58:D69" si="24">SUMIFS($J$4:$J$53,$D$4:$D$53,A58)</f>
        <v>19533.288</v>
      </c>
      <c r="E58" s="7">
        <f t="shared" ref="E58:E69" si="25">SUMIFS($K$4:$K$53,$D$4:$D$53,A58)</f>
        <v>4733</v>
      </c>
      <c r="F58" s="7">
        <f t="shared" ref="F58:F70" si="26">IFERROR(E58/B58,0)</f>
        <v>1577.6666666666667</v>
      </c>
      <c r="G58" s="7">
        <f t="shared" ref="G58:G69" si="27">D58+E58</f>
        <v>24266.288</v>
      </c>
    </row>
    <row r="59" spans="1:18" x14ac:dyDescent="0.2">
      <c r="A59" s="2" t="s">
        <v>3</v>
      </c>
      <c r="B59" s="29">
        <f t="shared" si="22"/>
        <v>4</v>
      </c>
      <c r="C59" s="7">
        <f t="shared" si="23"/>
        <v>5783.4965000000002</v>
      </c>
      <c r="D59" s="7">
        <f t="shared" si="24"/>
        <v>23133.986000000001</v>
      </c>
      <c r="E59" s="7">
        <f t="shared" si="25"/>
        <v>6133</v>
      </c>
      <c r="F59" s="7">
        <f t="shared" si="26"/>
        <v>1533.25</v>
      </c>
      <c r="G59" s="7">
        <f t="shared" si="27"/>
        <v>29266.986000000001</v>
      </c>
    </row>
    <row r="60" spans="1:18" x14ac:dyDescent="0.2">
      <c r="A60" s="2" t="s">
        <v>4</v>
      </c>
      <c r="B60" s="29">
        <f t="shared" si="22"/>
        <v>3</v>
      </c>
      <c r="C60" s="7">
        <f t="shared" si="23"/>
        <v>5292.8040000000001</v>
      </c>
      <c r="D60" s="7">
        <f t="shared" si="24"/>
        <v>15878.412</v>
      </c>
      <c r="E60" s="7">
        <f t="shared" si="25"/>
        <v>5158</v>
      </c>
      <c r="F60" s="7">
        <f t="shared" si="26"/>
        <v>1719.3333333333333</v>
      </c>
      <c r="G60" s="7">
        <f t="shared" si="27"/>
        <v>21036.412</v>
      </c>
    </row>
    <row r="61" spans="1:18" x14ac:dyDescent="0.2">
      <c r="A61" s="2" t="s">
        <v>5</v>
      </c>
      <c r="B61" s="29">
        <f t="shared" si="22"/>
        <v>5</v>
      </c>
      <c r="C61" s="7">
        <f t="shared" si="23"/>
        <v>5928.8915999999999</v>
      </c>
      <c r="D61" s="7">
        <f t="shared" si="24"/>
        <v>29644.457999999999</v>
      </c>
      <c r="E61" s="7">
        <f t="shared" si="25"/>
        <v>9441</v>
      </c>
      <c r="F61" s="7">
        <f t="shared" si="26"/>
        <v>1888.2</v>
      </c>
      <c r="G61" s="7">
        <f t="shared" si="27"/>
        <v>39085.457999999999</v>
      </c>
    </row>
    <row r="62" spans="1:18" x14ac:dyDescent="0.2">
      <c r="A62" s="2" t="s">
        <v>6</v>
      </c>
      <c r="B62" s="29">
        <f t="shared" si="22"/>
        <v>3</v>
      </c>
      <c r="C62" s="7">
        <f t="shared" si="23"/>
        <v>5653.2986666666666</v>
      </c>
      <c r="D62" s="7">
        <f t="shared" si="24"/>
        <v>16959.896000000001</v>
      </c>
      <c r="E62" s="7">
        <f t="shared" si="25"/>
        <v>5536</v>
      </c>
      <c r="F62" s="7">
        <f t="shared" si="26"/>
        <v>1845.3333333333333</v>
      </c>
      <c r="G62" s="7">
        <f t="shared" si="27"/>
        <v>22495.896000000001</v>
      </c>
    </row>
    <row r="63" spans="1:18" x14ac:dyDescent="0.2">
      <c r="A63" s="2" t="s">
        <v>7</v>
      </c>
      <c r="B63" s="29">
        <f t="shared" si="22"/>
        <v>7</v>
      </c>
      <c r="C63" s="7">
        <f t="shared" si="23"/>
        <v>6013.8425714285713</v>
      </c>
      <c r="D63" s="7">
        <f t="shared" si="24"/>
        <v>42096.898000000001</v>
      </c>
      <c r="E63" s="7">
        <f t="shared" si="25"/>
        <v>15049</v>
      </c>
      <c r="F63" s="7">
        <f t="shared" si="26"/>
        <v>2149.8571428571427</v>
      </c>
      <c r="G63" s="7">
        <f t="shared" si="27"/>
        <v>57145.898000000001</v>
      </c>
    </row>
    <row r="64" spans="1:18" x14ac:dyDescent="0.2">
      <c r="A64" s="2" t="s">
        <v>8</v>
      </c>
      <c r="B64" s="29">
        <f t="shared" si="22"/>
        <v>4</v>
      </c>
      <c r="C64" s="7">
        <f t="shared" si="23"/>
        <v>5086.0045</v>
      </c>
      <c r="D64" s="7">
        <f t="shared" si="24"/>
        <v>20344.018</v>
      </c>
      <c r="E64" s="7">
        <f t="shared" si="25"/>
        <v>9035</v>
      </c>
      <c r="F64" s="7">
        <f t="shared" si="26"/>
        <v>2258.75</v>
      </c>
      <c r="G64" s="7">
        <f t="shared" si="27"/>
        <v>29379.018</v>
      </c>
    </row>
    <row r="65" spans="1:7" x14ac:dyDescent="0.2">
      <c r="A65" s="2" t="s">
        <v>9</v>
      </c>
      <c r="B65" s="29">
        <f t="shared" si="22"/>
        <v>2</v>
      </c>
      <c r="C65" s="7">
        <f t="shared" si="23"/>
        <v>5273.3045000000002</v>
      </c>
      <c r="D65" s="7">
        <f t="shared" si="24"/>
        <v>10546.609</v>
      </c>
      <c r="E65" s="7">
        <f t="shared" si="25"/>
        <v>1666</v>
      </c>
      <c r="F65" s="7">
        <f t="shared" si="26"/>
        <v>833</v>
      </c>
      <c r="G65" s="7">
        <f t="shared" si="27"/>
        <v>12212.609</v>
      </c>
    </row>
    <row r="66" spans="1:7" x14ac:dyDescent="0.2">
      <c r="A66" s="2" t="s">
        <v>10</v>
      </c>
      <c r="B66" s="29">
        <f t="shared" si="22"/>
        <v>6</v>
      </c>
      <c r="C66" s="7">
        <f t="shared" si="23"/>
        <v>4542.1066666666666</v>
      </c>
      <c r="D66" s="7">
        <f t="shared" si="24"/>
        <v>27252.639999999999</v>
      </c>
      <c r="E66" s="7">
        <f t="shared" si="25"/>
        <v>11866</v>
      </c>
      <c r="F66" s="7">
        <f t="shared" si="26"/>
        <v>1977.6666666666667</v>
      </c>
      <c r="G66" s="7">
        <f t="shared" si="27"/>
        <v>39118.639999999999</v>
      </c>
    </row>
    <row r="67" spans="1:7" x14ac:dyDescent="0.2">
      <c r="A67" s="2" t="s">
        <v>11</v>
      </c>
      <c r="B67" s="29">
        <f t="shared" si="22"/>
        <v>3</v>
      </c>
      <c r="C67" s="7">
        <f t="shared" si="23"/>
        <v>7018.3086666666668</v>
      </c>
      <c r="D67" s="7">
        <f t="shared" si="24"/>
        <v>21054.925999999999</v>
      </c>
      <c r="E67" s="7">
        <f t="shared" si="25"/>
        <v>3519</v>
      </c>
      <c r="F67" s="7">
        <f t="shared" si="26"/>
        <v>1173</v>
      </c>
      <c r="G67" s="7">
        <f t="shared" si="27"/>
        <v>24573.925999999999</v>
      </c>
    </row>
    <row r="68" spans="1:7" x14ac:dyDescent="0.2">
      <c r="A68" s="2" t="s">
        <v>12</v>
      </c>
      <c r="B68" s="29">
        <f t="shared" si="22"/>
        <v>8</v>
      </c>
      <c r="C68" s="7">
        <f t="shared" si="23"/>
        <v>5844.6109999999999</v>
      </c>
      <c r="D68" s="7">
        <f t="shared" si="24"/>
        <v>46756.887999999999</v>
      </c>
      <c r="E68" s="7">
        <f t="shared" si="25"/>
        <v>13940</v>
      </c>
      <c r="F68" s="7">
        <f t="shared" si="26"/>
        <v>1742.5</v>
      </c>
      <c r="G68" s="7">
        <f t="shared" si="27"/>
        <v>60696.887999999999</v>
      </c>
    </row>
    <row r="69" spans="1:7" x14ac:dyDescent="0.2">
      <c r="A69" s="2" t="s">
        <v>13</v>
      </c>
      <c r="B69" s="29">
        <f t="shared" si="22"/>
        <v>2</v>
      </c>
      <c r="C69" s="7">
        <f t="shared" si="23"/>
        <v>4741.5070000000005</v>
      </c>
      <c r="D69" s="7">
        <f t="shared" si="24"/>
        <v>9483.014000000001</v>
      </c>
      <c r="E69" s="7">
        <f t="shared" si="25"/>
        <v>2014</v>
      </c>
      <c r="F69" s="7">
        <f t="shared" si="26"/>
        <v>1007</v>
      </c>
      <c r="G69" s="7">
        <f t="shared" si="27"/>
        <v>11497.014000000001</v>
      </c>
    </row>
    <row r="70" spans="1:7" x14ac:dyDescent="0.2">
      <c r="A70" s="2" t="s">
        <v>206</v>
      </c>
      <c r="B70" s="30">
        <f>SUM(B58:B69)</f>
        <v>50</v>
      </c>
      <c r="C70" s="9">
        <f>IFERROR(D70/B70,0)</f>
        <v>5653.7006600000013</v>
      </c>
      <c r="D70" s="9">
        <f>SUM(D58:D69)</f>
        <v>282685.03300000005</v>
      </c>
      <c r="E70" s="9">
        <f>SUM(E58:E69)</f>
        <v>88090</v>
      </c>
      <c r="F70" s="9">
        <f t="shared" si="26"/>
        <v>1761.8</v>
      </c>
      <c r="G70" s="9">
        <f>SUM(G58:G69)</f>
        <v>370775.033</v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70"/>
  <sheetViews>
    <sheetView workbookViewId="0">
      <pane ySplit="3" topLeftCell="A4" activePane="bottomLeft" state="frozen"/>
      <selection pane="bottomLeft" sqref="A1:N1"/>
    </sheetView>
  </sheetViews>
  <sheetFormatPr baseColWidth="10" defaultColWidth="8.83203125" defaultRowHeight="15" x14ac:dyDescent="0.2"/>
  <cols>
    <col min="1" max="1" width="10" customWidth="1"/>
    <col min="2" max="2" width="18" customWidth="1"/>
    <col min="3" max="3" width="12" customWidth="1"/>
    <col min="4" max="4" width="8" customWidth="1"/>
    <col min="5" max="5" width="12" customWidth="1"/>
    <col min="6" max="6" width="8" customWidth="1"/>
    <col min="7" max="7" width="12" customWidth="1"/>
    <col min="8" max="8" width="14" customWidth="1"/>
    <col min="9" max="9" width="12" customWidth="1"/>
    <col min="10" max="10" width="14" customWidth="1"/>
    <col min="11" max="11" width="12" customWidth="1"/>
    <col min="12" max="13" width="14" customWidth="1"/>
    <col min="14" max="14" width="10" customWidth="1"/>
  </cols>
  <sheetData>
    <row r="1" spans="1:14" ht="18" x14ac:dyDescent="0.2">
      <c r="A1" s="44" t="s">
        <v>207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</row>
    <row r="3" spans="1:14" x14ac:dyDescent="0.2">
      <c r="A3" s="1" t="s">
        <v>78</v>
      </c>
      <c r="B3" s="1" t="s">
        <v>79</v>
      </c>
      <c r="C3" s="1" t="s">
        <v>80</v>
      </c>
      <c r="D3" s="1" t="s">
        <v>81</v>
      </c>
      <c r="E3" s="1" t="s">
        <v>208</v>
      </c>
      <c r="F3" s="1" t="s">
        <v>209</v>
      </c>
      <c r="G3" s="1" t="s">
        <v>83</v>
      </c>
      <c r="H3" s="1" t="s">
        <v>210</v>
      </c>
      <c r="I3" s="1" t="s">
        <v>211</v>
      </c>
      <c r="J3" s="1" t="s">
        <v>212</v>
      </c>
      <c r="K3" s="1" t="s">
        <v>88</v>
      </c>
      <c r="L3" s="1" t="s">
        <v>213</v>
      </c>
      <c r="M3" s="1" t="s">
        <v>205</v>
      </c>
      <c r="N3" s="1" t="s">
        <v>214</v>
      </c>
    </row>
    <row r="4" spans="1:14" x14ac:dyDescent="0.2">
      <c r="A4" s="23" t="s">
        <v>215</v>
      </c>
      <c r="B4" s="23" t="s">
        <v>216</v>
      </c>
      <c r="C4" s="24">
        <v>45659</v>
      </c>
      <c r="D4" s="25" t="str">
        <f t="shared" ref="D4:D35" si="0">TEXT(C4,"mmm")</f>
        <v>Jan</v>
      </c>
      <c r="E4" s="23" t="s">
        <v>217</v>
      </c>
      <c r="F4" s="31">
        <v>71</v>
      </c>
      <c r="G4" s="26">
        <v>30477</v>
      </c>
      <c r="H4" s="26">
        <v>25536</v>
      </c>
      <c r="I4" s="26">
        <v>1337</v>
      </c>
      <c r="J4" s="32">
        <f t="shared" ref="J4:J35" si="1">F4*H4*RiskAdjustedFloorPlanRate/365</f>
        <v>362.73538191780818</v>
      </c>
      <c r="K4" s="26">
        <v>922</v>
      </c>
      <c r="L4" s="7">
        <f t="shared" ref="L4:L35" si="2">G4-H4-I4-J4</f>
        <v>3241.2646180821916</v>
      </c>
      <c r="M4" s="7">
        <f t="shared" ref="M4:M35" si="3">L4+K4</f>
        <v>4163.2646180821921</v>
      </c>
      <c r="N4" s="6">
        <f t="shared" ref="N4:N35" si="4">IFERROR(M4/G4,0)</f>
        <v>0.13660349175057229</v>
      </c>
    </row>
    <row r="5" spans="1:14" x14ac:dyDescent="0.2">
      <c r="A5" s="23" t="s">
        <v>218</v>
      </c>
      <c r="B5" s="23" t="s">
        <v>219</v>
      </c>
      <c r="C5" s="24">
        <v>45661</v>
      </c>
      <c r="D5" s="25" t="str">
        <f t="shared" si="0"/>
        <v>Jan</v>
      </c>
      <c r="E5" s="23" t="s">
        <v>220</v>
      </c>
      <c r="F5" s="31">
        <v>32</v>
      </c>
      <c r="G5" s="26">
        <v>33024</v>
      </c>
      <c r="H5" s="26">
        <v>27884</v>
      </c>
      <c r="I5" s="26">
        <v>793</v>
      </c>
      <c r="J5" s="32">
        <f t="shared" si="1"/>
        <v>178.51871561643833</v>
      </c>
      <c r="K5" s="26">
        <v>678</v>
      </c>
      <c r="L5" s="7">
        <f t="shared" si="2"/>
        <v>4168.4812843835616</v>
      </c>
      <c r="M5" s="7">
        <f t="shared" si="3"/>
        <v>4846.4812843835616</v>
      </c>
      <c r="N5" s="6">
        <f t="shared" si="4"/>
        <v>0.14675633734204099</v>
      </c>
    </row>
    <row r="6" spans="1:14" x14ac:dyDescent="0.2">
      <c r="A6" s="23" t="s">
        <v>221</v>
      </c>
      <c r="B6" s="23" t="s">
        <v>222</v>
      </c>
      <c r="C6" s="24">
        <v>45663</v>
      </c>
      <c r="D6" s="25" t="str">
        <f t="shared" si="0"/>
        <v>Jan</v>
      </c>
      <c r="E6" s="23" t="s">
        <v>220</v>
      </c>
      <c r="F6" s="31">
        <v>10</v>
      </c>
      <c r="G6" s="26">
        <v>26793</v>
      </c>
      <c r="H6" s="26">
        <v>19820</v>
      </c>
      <c r="I6" s="26">
        <v>1181</v>
      </c>
      <c r="J6" s="32">
        <f t="shared" si="1"/>
        <v>39.65357534246575</v>
      </c>
      <c r="K6" s="26">
        <v>1184</v>
      </c>
      <c r="L6" s="7">
        <f t="shared" si="2"/>
        <v>5752.346424657534</v>
      </c>
      <c r="M6" s="7">
        <f t="shared" si="3"/>
        <v>6936.346424657534</v>
      </c>
      <c r="N6" s="6">
        <f t="shared" si="4"/>
        <v>0.25888651605484769</v>
      </c>
    </row>
    <row r="7" spans="1:14" x14ac:dyDescent="0.2">
      <c r="A7" s="23" t="s">
        <v>223</v>
      </c>
      <c r="B7" s="23" t="s">
        <v>224</v>
      </c>
      <c r="C7" s="24">
        <v>45663</v>
      </c>
      <c r="D7" s="25" t="str">
        <f t="shared" si="0"/>
        <v>Jan</v>
      </c>
      <c r="E7" s="23" t="s">
        <v>217</v>
      </c>
      <c r="F7" s="31">
        <v>52</v>
      </c>
      <c r="G7" s="26">
        <v>39637</v>
      </c>
      <c r="H7" s="26">
        <v>33280</v>
      </c>
      <c r="I7" s="26">
        <v>1621</v>
      </c>
      <c r="J7" s="32">
        <f t="shared" si="1"/>
        <v>346.23053150684927</v>
      </c>
      <c r="K7" s="26">
        <v>2105</v>
      </c>
      <c r="L7" s="7">
        <f t="shared" si="2"/>
        <v>4389.7694684931503</v>
      </c>
      <c r="M7" s="7">
        <f t="shared" si="3"/>
        <v>6494.7694684931503</v>
      </c>
      <c r="N7" s="6">
        <f t="shared" si="4"/>
        <v>0.16385623201789112</v>
      </c>
    </row>
    <row r="8" spans="1:14" x14ac:dyDescent="0.2">
      <c r="A8" s="23" t="s">
        <v>225</v>
      </c>
      <c r="B8" s="23" t="s">
        <v>226</v>
      </c>
      <c r="C8" s="24">
        <v>45674</v>
      </c>
      <c r="D8" s="25" t="str">
        <f t="shared" si="0"/>
        <v>Jan</v>
      </c>
      <c r="E8" s="23" t="s">
        <v>227</v>
      </c>
      <c r="F8" s="31">
        <v>33</v>
      </c>
      <c r="G8" s="26">
        <v>16245</v>
      </c>
      <c r="H8" s="26">
        <v>12821</v>
      </c>
      <c r="I8" s="26">
        <v>1632</v>
      </c>
      <c r="J8" s="32">
        <f t="shared" si="1"/>
        <v>84.64757897260273</v>
      </c>
      <c r="K8" s="26">
        <v>1081</v>
      </c>
      <c r="L8" s="7">
        <f t="shared" si="2"/>
        <v>1707.3524210273972</v>
      </c>
      <c r="M8" s="7">
        <f t="shared" si="3"/>
        <v>2788.3524210273972</v>
      </c>
      <c r="N8" s="6">
        <f t="shared" si="4"/>
        <v>0.17164373167296998</v>
      </c>
    </row>
    <row r="9" spans="1:14" x14ac:dyDescent="0.2">
      <c r="A9" s="23" t="s">
        <v>228</v>
      </c>
      <c r="B9" s="23" t="s">
        <v>229</v>
      </c>
      <c r="C9" s="24">
        <v>45674</v>
      </c>
      <c r="D9" s="25" t="str">
        <f t="shared" si="0"/>
        <v>Jan</v>
      </c>
      <c r="E9" s="23" t="s">
        <v>217</v>
      </c>
      <c r="F9" s="31">
        <v>95</v>
      </c>
      <c r="G9" s="26">
        <v>20456</v>
      </c>
      <c r="H9" s="26">
        <v>15436</v>
      </c>
      <c r="I9" s="26">
        <v>393</v>
      </c>
      <c r="J9" s="32">
        <f t="shared" si="1"/>
        <v>293.38443972602738</v>
      </c>
      <c r="K9" s="26">
        <v>1960</v>
      </c>
      <c r="L9" s="7">
        <f t="shared" si="2"/>
        <v>4333.6155602739727</v>
      </c>
      <c r="M9" s="7">
        <f t="shared" si="3"/>
        <v>6293.6155602739727</v>
      </c>
      <c r="N9" s="6">
        <f t="shared" si="4"/>
        <v>0.30766599336497713</v>
      </c>
    </row>
    <row r="10" spans="1:14" x14ac:dyDescent="0.2">
      <c r="A10" s="23" t="s">
        <v>230</v>
      </c>
      <c r="B10" s="23" t="s">
        <v>231</v>
      </c>
      <c r="C10" s="24">
        <v>45679</v>
      </c>
      <c r="D10" s="25" t="str">
        <f t="shared" si="0"/>
        <v>Jan</v>
      </c>
      <c r="E10" s="23" t="s">
        <v>227</v>
      </c>
      <c r="F10" s="31">
        <v>61</v>
      </c>
      <c r="G10" s="26">
        <v>24756</v>
      </c>
      <c r="H10" s="26">
        <v>18363</v>
      </c>
      <c r="I10" s="26">
        <v>392</v>
      </c>
      <c r="J10" s="32">
        <f t="shared" si="1"/>
        <v>224.10532212328766</v>
      </c>
      <c r="K10" s="26">
        <v>2183</v>
      </c>
      <c r="L10" s="7">
        <f t="shared" si="2"/>
        <v>5776.8946778767122</v>
      </c>
      <c r="M10" s="7">
        <f t="shared" si="3"/>
        <v>7959.8946778767122</v>
      </c>
      <c r="N10" s="6">
        <f t="shared" si="4"/>
        <v>0.32153395855052158</v>
      </c>
    </row>
    <row r="11" spans="1:14" x14ac:dyDescent="0.2">
      <c r="A11" s="23" t="s">
        <v>232</v>
      </c>
      <c r="B11" s="23" t="s">
        <v>233</v>
      </c>
      <c r="C11" s="24">
        <v>45691</v>
      </c>
      <c r="D11" s="25" t="str">
        <f t="shared" si="0"/>
        <v>Feb</v>
      </c>
      <c r="E11" s="23" t="s">
        <v>217</v>
      </c>
      <c r="F11" s="31">
        <v>29</v>
      </c>
      <c r="G11" s="26">
        <v>31877</v>
      </c>
      <c r="H11" s="26">
        <v>22486</v>
      </c>
      <c r="I11" s="26">
        <v>1006</v>
      </c>
      <c r="J11" s="32">
        <f t="shared" si="1"/>
        <v>130.46346397260271</v>
      </c>
      <c r="K11" s="26">
        <v>1792</v>
      </c>
      <c r="L11" s="7">
        <f t="shared" si="2"/>
        <v>8254.5365360273972</v>
      </c>
      <c r="M11" s="7">
        <f t="shared" si="3"/>
        <v>10046.536536027397</v>
      </c>
      <c r="N11" s="6">
        <f t="shared" si="4"/>
        <v>0.31516568485200608</v>
      </c>
    </row>
    <row r="12" spans="1:14" x14ac:dyDescent="0.2">
      <c r="A12" s="23" t="s">
        <v>234</v>
      </c>
      <c r="B12" s="23" t="s">
        <v>235</v>
      </c>
      <c r="C12" s="24">
        <v>45703</v>
      </c>
      <c r="D12" s="25" t="str">
        <f t="shared" si="0"/>
        <v>Feb</v>
      </c>
      <c r="E12" s="23" t="s">
        <v>217</v>
      </c>
      <c r="F12" s="31">
        <v>22</v>
      </c>
      <c r="G12" s="26">
        <v>15657</v>
      </c>
      <c r="H12" s="26">
        <v>12491</v>
      </c>
      <c r="I12" s="26">
        <v>1357</v>
      </c>
      <c r="J12" s="32">
        <f t="shared" si="1"/>
        <v>54.979222054794512</v>
      </c>
      <c r="K12" s="26">
        <v>630</v>
      </c>
      <c r="L12" s="7">
        <f t="shared" si="2"/>
        <v>1754.0207779452055</v>
      </c>
      <c r="M12" s="7">
        <f t="shared" si="3"/>
        <v>2384.0207779452057</v>
      </c>
      <c r="N12" s="6">
        <f t="shared" si="4"/>
        <v>0.15226549006484039</v>
      </c>
    </row>
    <row r="13" spans="1:14" x14ac:dyDescent="0.2">
      <c r="A13" s="23" t="s">
        <v>236</v>
      </c>
      <c r="B13" s="23" t="s">
        <v>237</v>
      </c>
      <c r="C13" s="24">
        <v>45706</v>
      </c>
      <c r="D13" s="25" t="str">
        <f t="shared" si="0"/>
        <v>Feb</v>
      </c>
      <c r="E13" s="23" t="s">
        <v>227</v>
      </c>
      <c r="F13" s="31">
        <v>74</v>
      </c>
      <c r="G13" s="26">
        <v>22690</v>
      </c>
      <c r="H13" s="26">
        <v>16333</v>
      </c>
      <c r="I13" s="26">
        <v>964</v>
      </c>
      <c r="J13" s="32">
        <f t="shared" si="1"/>
        <v>241.81118369863012</v>
      </c>
      <c r="K13" s="26">
        <v>740</v>
      </c>
      <c r="L13" s="7">
        <f t="shared" si="2"/>
        <v>5151.18881630137</v>
      </c>
      <c r="M13" s="7">
        <f t="shared" si="3"/>
        <v>5891.18881630137</v>
      </c>
      <c r="N13" s="6">
        <f t="shared" si="4"/>
        <v>0.25963811442491713</v>
      </c>
    </row>
    <row r="14" spans="1:14" x14ac:dyDescent="0.2">
      <c r="A14" s="23" t="s">
        <v>238</v>
      </c>
      <c r="B14" s="23" t="s">
        <v>239</v>
      </c>
      <c r="C14" s="24">
        <v>45708</v>
      </c>
      <c r="D14" s="25" t="str">
        <f t="shared" si="0"/>
        <v>Feb</v>
      </c>
      <c r="E14" s="23" t="s">
        <v>220</v>
      </c>
      <c r="F14" s="31">
        <v>54</v>
      </c>
      <c r="G14" s="26">
        <v>37872</v>
      </c>
      <c r="H14" s="26">
        <v>30977</v>
      </c>
      <c r="I14" s="26">
        <v>1143</v>
      </c>
      <c r="J14" s="32">
        <f t="shared" si="1"/>
        <v>334.66617246575339</v>
      </c>
      <c r="K14" s="26">
        <v>1841</v>
      </c>
      <c r="L14" s="7">
        <f t="shared" si="2"/>
        <v>5417.3338275342467</v>
      </c>
      <c r="M14" s="7">
        <f t="shared" si="3"/>
        <v>7258.3338275342467</v>
      </c>
      <c r="N14" s="6">
        <f t="shared" si="4"/>
        <v>0.19165435750776949</v>
      </c>
    </row>
    <row r="15" spans="1:14" x14ac:dyDescent="0.2">
      <c r="A15" s="23" t="s">
        <v>240</v>
      </c>
      <c r="B15" s="23" t="s">
        <v>241</v>
      </c>
      <c r="C15" s="24">
        <v>45713</v>
      </c>
      <c r="D15" s="25" t="str">
        <f t="shared" si="0"/>
        <v>Feb</v>
      </c>
      <c r="E15" s="23" t="s">
        <v>227</v>
      </c>
      <c r="F15" s="31">
        <v>31</v>
      </c>
      <c r="G15" s="26">
        <v>27317</v>
      </c>
      <c r="H15" s="26">
        <v>21111</v>
      </c>
      <c r="I15" s="26">
        <v>687</v>
      </c>
      <c r="J15" s="32">
        <f t="shared" si="1"/>
        <v>130.93302472602738</v>
      </c>
      <c r="K15" s="26">
        <v>1421</v>
      </c>
      <c r="L15" s="7">
        <f t="shared" si="2"/>
        <v>5388.0669752739723</v>
      </c>
      <c r="M15" s="7">
        <f t="shared" si="3"/>
        <v>6809.0669752739723</v>
      </c>
      <c r="N15" s="6">
        <f t="shared" si="4"/>
        <v>0.24926115515151637</v>
      </c>
    </row>
    <row r="16" spans="1:14" x14ac:dyDescent="0.2">
      <c r="A16" s="23" t="s">
        <v>242</v>
      </c>
      <c r="B16" s="23" t="s">
        <v>243</v>
      </c>
      <c r="C16" s="24">
        <v>45725</v>
      </c>
      <c r="D16" s="25" t="str">
        <f t="shared" si="0"/>
        <v>Mar</v>
      </c>
      <c r="E16" s="23" t="s">
        <v>220</v>
      </c>
      <c r="F16" s="31">
        <v>87</v>
      </c>
      <c r="G16" s="26">
        <v>20901</v>
      </c>
      <c r="H16" s="26">
        <v>16880</v>
      </c>
      <c r="I16" s="26">
        <v>666</v>
      </c>
      <c r="J16" s="32">
        <f t="shared" si="1"/>
        <v>293.81258630136983</v>
      </c>
      <c r="K16" s="26">
        <v>2007</v>
      </c>
      <c r="L16" s="7">
        <f t="shared" si="2"/>
        <v>3061.1874136986303</v>
      </c>
      <c r="M16" s="7">
        <f t="shared" si="3"/>
        <v>5068.1874136986298</v>
      </c>
      <c r="N16" s="6">
        <f t="shared" si="4"/>
        <v>0.24248540326772067</v>
      </c>
    </row>
    <row r="17" spans="1:14" x14ac:dyDescent="0.2">
      <c r="A17" s="23" t="s">
        <v>244</v>
      </c>
      <c r="B17" s="23" t="s">
        <v>245</v>
      </c>
      <c r="C17" s="24">
        <v>45739</v>
      </c>
      <c r="D17" s="25" t="str">
        <f t="shared" si="0"/>
        <v>Mar</v>
      </c>
      <c r="E17" s="23" t="s">
        <v>227</v>
      </c>
      <c r="F17" s="31">
        <v>18</v>
      </c>
      <c r="G17" s="26">
        <v>27594</v>
      </c>
      <c r="H17" s="26">
        <v>21002</v>
      </c>
      <c r="I17" s="26">
        <v>1361</v>
      </c>
      <c r="J17" s="32">
        <f t="shared" si="1"/>
        <v>75.633092876712325</v>
      </c>
      <c r="K17" s="26">
        <v>1554</v>
      </c>
      <c r="L17" s="7">
        <f t="shared" si="2"/>
        <v>5155.366907123288</v>
      </c>
      <c r="M17" s="7">
        <f t="shared" si="3"/>
        <v>6709.366907123288</v>
      </c>
      <c r="N17" s="6">
        <f t="shared" si="4"/>
        <v>0.24314586167729535</v>
      </c>
    </row>
    <row r="18" spans="1:14" x14ac:dyDescent="0.2">
      <c r="A18" s="23" t="s">
        <v>246</v>
      </c>
      <c r="B18" s="23" t="s">
        <v>247</v>
      </c>
      <c r="C18" s="24">
        <v>45756</v>
      </c>
      <c r="D18" s="25" t="str">
        <f t="shared" si="0"/>
        <v>Apr</v>
      </c>
      <c r="E18" s="23" t="s">
        <v>227</v>
      </c>
      <c r="F18" s="31">
        <v>23</v>
      </c>
      <c r="G18" s="26">
        <v>26535</v>
      </c>
      <c r="H18" s="26">
        <v>22045</v>
      </c>
      <c r="I18" s="26">
        <v>1213</v>
      </c>
      <c r="J18" s="32">
        <f t="shared" si="1"/>
        <v>101.44172842465751</v>
      </c>
      <c r="K18" s="26">
        <v>1055</v>
      </c>
      <c r="L18" s="7">
        <f t="shared" si="2"/>
        <v>3175.5582715753426</v>
      </c>
      <c r="M18" s="7">
        <f t="shared" si="3"/>
        <v>4230.5582715753426</v>
      </c>
      <c r="N18" s="6">
        <f t="shared" si="4"/>
        <v>0.1594331362945296</v>
      </c>
    </row>
    <row r="19" spans="1:14" x14ac:dyDescent="0.2">
      <c r="A19" s="23" t="s">
        <v>248</v>
      </c>
      <c r="B19" s="23" t="s">
        <v>249</v>
      </c>
      <c r="C19" s="24">
        <v>45759</v>
      </c>
      <c r="D19" s="25" t="str">
        <f t="shared" si="0"/>
        <v>Apr</v>
      </c>
      <c r="E19" s="23" t="s">
        <v>220</v>
      </c>
      <c r="F19" s="31">
        <v>30</v>
      </c>
      <c r="G19" s="26">
        <v>28358</v>
      </c>
      <c r="H19" s="26">
        <v>23397</v>
      </c>
      <c r="I19" s="26">
        <v>1690</v>
      </c>
      <c r="J19" s="32">
        <f t="shared" si="1"/>
        <v>140.43007602739726</v>
      </c>
      <c r="K19" s="26">
        <v>1219</v>
      </c>
      <c r="L19" s="7">
        <f t="shared" si="2"/>
        <v>3130.5699239726027</v>
      </c>
      <c r="M19" s="7">
        <f t="shared" si="3"/>
        <v>4349.5699239726027</v>
      </c>
      <c r="N19" s="6">
        <f t="shared" si="4"/>
        <v>0.15338070117683203</v>
      </c>
    </row>
    <row r="20" spans="1:14" x14ac:dyDescent="0.2">
      <c r="A20" s="23" t="s">
        <v>250</v>
      </c>
      <c r="B20" s="23" t="s">
        <v>251</v>
      </c>
      <c r="C20" s="24">
        <v>45761</v>
      </c>
      <c r="D20" s="25" t="str">
        <f t="shared" si="0"/>
        <v>Apr</v>
      </c>
      <c r="E20" s="23" t="s">
        <v>217</v>
      </c>
      <c r="F20" s="31">
        <v>58</v>
      </c>
      <c r="G20" s="26">
        <v>36194</v>
      </c>
      <c r="H20" s="26">
        <v>29397</v>
      </c>
      <c r="I20" s="26">
        <v>606</v>
      </c>
      <c r="J20" s="32">
        <f t="shared" si="1"/>
        <v>341.12198260273971</v>
      </c>
      <c r="K20" s="26">
        <v>1860</v>
      </c>
      <c r="L20" s="7">
        <f t="shared" si="2"/>
        <v>5849.87801739726</v>
      </c>
      <c r="M20" s="7">
        <f t="shared" si="3"/>
        <v>7709.87801739726</v>
      </c>
      <c r="N20" s="6">
        <f t="shared" si="4"/>
        <v>0.21301536214282091</v>
      </c>
    </row>
    <row r="21" spans="1:14" x14ac:dyDescent="0.2">
      <c r="A21" s="23" t="s">
        <v>252</v>
      </c>
      <c r="B21" s="23" t="s">
        <v>253</v>
      </c>
      <c r="C21" s="24">
        <v>45763</v>
      </c>
      <c r="D21" s="25" t="str">
        <f t="shared" si="0"/>
        <v>Apr</v>
      </c>
      <c r="E21" s="23" t="s">
        <v>217</v>
      </c>
      <c r="F21" s="31">
        <v>19</v>
      </c>
      <c r="G21" s="26">
        <v>28923</v>
      </c>
      <c r="H21" s="26">
        <v>22044</v>
      </c>
      <c r="I21" s="26">
        <v>1539</v>
      </c>
      <c r="J21" s="32">
        <f t="shared" si="1"/>
        <v>83.795887397260273</v>
      </c>
      <c r="K21" s="26">
        <v>1778</v>
      </c>
      <c r="L21" s="7">
        <f t="shared" si="2"/>
        <v>5256.2041126027398</v>
      </c>
      <c r="M21" s="7">
        <f t="shared" si="3"/>
        <v>7034.2041126027398</v>
      </c>
      <c r="N21" s="6">
        <f t="shared" si="4"/>
        <v>0.24320451241581922</v>
      </c>
    </row>
    <row r="22" spans="1:14" x14ac:dyDescent="0.2">
      <c r="A22" s="23" t="s">
        <v>254</v>
      </c>
      <c r="B22" s="23" t="s">
        <v>255</v>
      </c>
      <c r="C22" s="24">
        <v>45769</v>
      </c>
      <c r="D22" s="25" t="str">
        <f t="shared" si="0"/>
        <v>Apr</v>
      </c>
      <c r="E22" s="23" t="s">
        <v>227</v>
      </c>
      <c r="F22" s="31">
        <v>95</v>
      </c>
      <c r="G22" s="26">
        <v>17368</v>
      </c>
      <c r="H22" s="26">
        <v>13079</v>
      </c>
      <c r="I22" s="26">
        <v>1396</v>
      </c>
      <c r="J22" s="32">
        <f t="shared" si="1"/>
        <v>248.58610308219178</v>
      </c>
      <c r="K22" s="26">
        <v>1432</v>
      </c>
      <c r="L22" s="7">
        <f t="shared" si="2"/>
        <v>2644.4138969178084</v>
      </c>
      <c r="M22" s="7">
        <f t="shared" si="3"/>
        <v>4076.4138969178084</v>
      </c>
      <c r="N22" s="6">
        <f t="shared" si="4"/>
        <v>0.23470830820576971</v>
      </c>
    </row>
    <row r="23" spans="1:14" x14ac:dyDescent="0.2">
      <c r="A23" s="23" t="s">
        <v>256</v>
      </c>
      <c r="B23" s="23" t="s">
        <v>257</v>
      </c>
      <c r="C23" s="24">
        <v>45769</v>
      </c>
      <c r="D23" s="25" t="str">
        <f t="shared" si="0"/>
        <v>Apr</v>
      </c>
      <c r="E23" s="23" t="s">
        <v>220</v>
      </c>
      <c r="F23" s="31">
        <v>38</v>
      </c>
      <c r="G23" s="26">
        <v>40429</v>
      </c>
      <c r="H23" s="26">
        <v>29507</v>
      </c>
      <c r="I23" s="26">
        <v>300</v>
      </c>
      <c r="J23" s="32">
        <f t="shared" si="1"/>
        <v>224.32999904109587</v>
      </c>
      <c r="K23" s="26">
        <v>694</v>
      </c>
      <c r="L23" s="7">
        <f t="shared" si="2"/>
        <v>10397.670000958904</v>
      </c>
      <c r="M23" s="7">
        <f t="shared" si="3"/>
        <v>11091.670000958904</v>
      </c>
      <c r="N23" s="6">
        <f t="shared" si="4"/>
        <v>0.27434935321078691</v>
      </c>
    </row>
    <row r="24" spans="1:14" x14ac:dyDescent="0.2">
      <c r="A24" s="23" t="s">
        <v>258</v>
      </c>
      <c r="B24" s="23" t="s">
        <v>259</v>
      </c>
      <c r="C24" s="24">
        <v>45770</v>
      </c>
      <c r="D24" s="25" t="str">
        <f t="shared" si="0"/>
        <v>Apr</v>
      </c>
      <c r="E24" s="23" t="s">
        <v>217</v>
      </c>
      <c r="F24" s="31">
        <v>59</v>
      </c>
      <c r="G24" s="26">
        <v>30199</v>
      </c>
      <c r="H24" s="26">
        <v>22949</v>
      </c>
      <c r="I24" s="26">
        <v>552</v>
      </c>
      <c r="J24" s="32">
        <f t="shared" si="1"/>
        <v>270.890939109589</v>
      </c>
      <c r="K24" s="26">
        <v>1943</v>
      </c>
      <c r="L24" s="7">
        <f t="shared" si="2"/>
        <v>6427.1090608904105</v>
      </c>
      <c r="M24" s="7">
        <f t="shared" si="3"/>
        <v>8370.1090608904105</v>
      </c>
      <c r="N24" s="6">
        <f t="shared" si="4"/>
        <v>0.2771651068211004</v>
      </c>
    </row>
    <row r="25" spans="1:14" x14ac:dyDescent="0.2">
      <c r="A25" s="23" t="s">
        <v>260</v>
      </c>
      <c r="B25" s="23" t="s">
        <v>261</v>
      </c>
      <c r="C25" s="24">
        <v>45774</v>
      </c>
      <c r="D25" s="25" t="str">
        <f t="shared" si="0"/>
        <v>Apr</v>
      </c>
      <c r="E25" s="23" t="s">
        <v>220</v>
      </c>
      <c r="F25" s="31">
        <v>54</v>
      </c>
      <c r="G25" s="26">
        <v>24000</v>
      </c>
      <c r="H25" s="26">
        <v>19753</v>
      </c>
      <c r="I25" s="26">
        <v>716</v>
      </c>
      <c r="J25" s="32">
        <f t="shared" si="1"/>
        <v>213.40545904109587</v>
      </c>
      <c r="K25" s="26">
        <v>1056</v>
      </c>
      <c r="L25" s="7">
        <f t="shared" si="2"/>
        <v>3317.594540958904</v>
      </c>
      <c r="M25" s="7">
        <f t="shared" si="3"/>
        <v>4373.594540958904</v>
      </c>
      <c r="N25" s="6">
        <f t="shared" si="4"/>
        <v>0.18223310587328767</v>
      </c>
    </row>
    <row r="26" spans="1:14" x14ac:dyDescent="0.2">
      <c r="A26" s="23" t="s">
        <v>262</v>
      </c>
      <c r="B26" s="23" t="s">
        <v>263</v>
      </c>
      <c r="C26" s="24">
        <v>45783</v>
      </c>
      <c r="D26" s="25" t="str">
        <f t="shared" si="0"/>
        <v>May</v>
      </c>
      <c r="E26" s="23" t="s">
        <v>217</v>
      </c>
      <c r="F26" s="31">
        <v>66</v>
      </c>
      <c r="G26" s="26">
        <v>32077</v>
      </c>
      <c r="H26" s="26">
        <v>25849</v>
      </c>
      <c r="I26" s="26">
        <v>1398</v>
      </c>
      <c r="J26" s="32">
        <f t="shared" si="1"/>
        <v>341.3236516438356</v>
      </c>
      <c r="K26" s="26">
        <v>619</v>
      </c>
      <c r="L26" s="7">
        <f t="shared" si="2"/>
        <v>4488.6763483561645</v>
      </c>
      <c r="M26" s="7">
        <f t="shared" si="3"/>
        <v>5107.6763483561645</v>
      </c>
      <c r="N26" s="6">
        <f t="shared" si="4"/>
        <v>0.15923173452492953</v>
      </c>
    </row>
    <row r="27" spans="1:14" x14ac:dyDescent="0.2">
      <c r="A27" s="23" t="s">
        <v>264</v>
      </c>
      <c r="B27" s="23" t="s">
        <v>265</v>
      </c>
      <c r="C27" s="24">
        <v>45784</v>
      </c>
      <c r="D27" s="25" t="str">
        <f t="shared" si="0"/>
        <v>May</v>
      </c>
      <c r="E27" s="23" t="s">
        <v>227</v>
      </c>
      <c r="F27" s="31">
        <v>84</v>
      </c>
      <c r="G27" s="26">
        <v>38108</v>
      </c>
      <c r="H27" s="26">
        <v>29774</v>
      </c>
      <c r="I27" s="26">
        <v>1781</v>
      </c>
      <c r="J27" s="32">
        <f t="shared" si="1"/>
        <v>500.37450246575338</v>
      </c>
      <c r="K27" s="26">
        <v>1242</v>
      </c>
      <c r="L27" s="7">
        <f t="shared" si="2"/>
        <v>6052.6254975342463</v>
      </c>
      <c r="M27" s="7">
        <f t="shared" si="3"/>
        <v>7294.6254975342463</v>
      </c>
      <c r="N27" s="6">
        <f t="shared" si="4"/>
        <v>0.19141979367939138</v>
      </c>
    </row>
    <row r="28" spans="1:14" x14ac:dyDescent="0.2">
      <c r="A28" s="23" t="s">
        <v>266</v>
      </c>
      <c r="B28" s="23" t="s">
        <v>267</v>
      </c>
      <c r="C28" s="24">
        <v>45789</v>
      </c>
      <c r="D28" s="25" t="str">
        <f t="shared" si="0"/>
        <v>May</v>
      </c>
      <c r="E28" s="23" t="s">
        <v>217</v>
      </c>
      <c r="F28" s="31">
        <v>75</v>
      </c>
      <c r="G28" s="26">
        <v>27096</v>
      </c>
      <c r="H28" s="26">
        <v>21729</v>
      </c>
      <c r="I28" s="26">
        <v>1348</v>
      </c>
      <c r="J28" s="32">
        <f t="shared" si="1"/>
        <v>326.04662157534244</v>
      </c>
      <c r="K28" s="26">
        <v>1278</v>
      </c>
      <c r="L28" s="7">
        <f t="shared" si="2"/>
        <v>3692.9533784246578</v>
      </c>
      <c r="M28" s="7">
        <f t="shared" si="3"/>
        <v>4970.9533784246578</v>
      </c>
      <c r="N28" s="6">
        <f t="shared" si="4"/>
        <v>0.18345709250164813</v>
      </c>
    </row>
    <row r="29" spans="1:14" x14ac:dyDescent="0.2">
      <c r="A29" s="23" t="s">
        <v>268</v>
      </c>
      <c r="B29" s="23" t="s">
        <v>269</v>
      </c>
      <c r="C29" s="24">
        <v>45792</v>
      </c>
      <c r="D29" s="25" t="str">
        <f t="shared" si="0"/>
        <v>May</v>
      </c>
      <c r="E29" s="23" t="s">
        <v>220</v>
      </c>
      <c r="F29" s="31">
        <v>19</v>
      </c>
      <c r="G29" s="26">
        <v>14305</v>
      </c>
      <c r="H29" s="26">
        <v>10996</v>
      </c>
      <c r="I29" s="26">
        <v>1403</v>
      </c>
      <c r="J29" s="32">
        <f t="shared" si="1"/>
        <v>41.799109863013697</v>
      </c>
      <c r="K29" s="26">
        <v>804</v>
      </c>
      <c r="L29" s="7">
        <f t="shared" si="2"/>
        <v>1864.2008901369863</v>
      </c>
      <c r="M29" s="7">
        <f t="shared" si="3"/>
        <v>2668.2008901369863</v>
      </c>
      <c r="N29" s="6">
        <f t="shared" si="4"/>
        <v>0.18652225726228497</v>
      </c>
    </row>
    <row r="30" spans="1:14" x14ac:dyDescent="0.2">
      <c r="A30" s="23" t="s">
        <v>270</v>
      </c>
      <c r="B30" s="23" t="s">
        <v>271</v>
      </c>
      <c r="C30" s="24">
        <v>45799</v>
      </c>
      <c r="D30" s="25" t="str">
        <f t="shared" si="0"/>
        <v>May</v>
      </c>
      <c r="E30" s="23" t="s">
        <v>220</v>
      </c>
      <c r="F30" s="31">
        <v>51</v>
      </c>
      <c r="G30" s="26">
        <v>27185</v>
      </c>
      <c r="H30" s="26">
        <v>21872</v>
      </c>
      <c r="I30" s="26">
        <v>1385</v>
      </c>
      <c r="J30" s="32">
        <f t="shared" si="1"/>
        <v>223.17080219178081</v>
      </c>
      <c r="K30" s="26">
        <v>860</v>
      </c>
      <c r="L30" s="7">
        <f t="shared" si="2"/>
        <v>3704.8291978082193</v>
      </c>
      <c r="M30" s="7">
        <f t="shared" si="3"/>
        <v>4564.8291978082198</v>
      </c>
      <c r="N30" s="6">
        <f t="shared" si="4"/>
        <v>0.16791720426000439</v>
      </c>
    </row>
    <row r="31" spans="1:14" x14ac:dyDescent="0.2">
      <c r="A31" s="23" t="s">
        <v>272</v>
      </c>
      <c r="B31" s="23" t="s">
        <v>273</v>
      </c>
      <c r="C31" s="24">
        <v>45819</v>
      </c>
      <c r="D31" s="25" t="str">
        <f t="shared" si="0"/>
        <v>Jun</v>
      </c>
      <c r="E31" s="23" t="s">
        <v>217</v>
      </c>
      <c r="F31" s="31">
        <v>20</v>
      </c>
      <c r="G31" s="26">
        <v>18534</v>
      </c>
      <c r="H31" s="26">
        <v>13393</v>
      </c>
      <c r="I31" s="26">
        <v>1034</v>
      </c>
      <c r="J31" s="32">
        <f t="shared" si="1"/>
        <v>53.590346575342458</v>
      </c>
      <c r="K31" s="26">
        <v>2021</v>
      </c>
      <c r="L31" s="7">
        <f t="shared" si="2"/>
        <v>4053.4096534246573</v>
      </c>
      <c r="M31" s="7">
        <f t="shared" si="3"/>
        <v>6074.4096534246573</v>
      </c>
      <c r="N31" s="6">
        <f t="shared" si="4"/>
        <v>0.32774412719459683</v>
      </c>
    </row>
    <row r="32" spans="1:14" x14ac:dyDescent="0.2">
      <c r="A32" s="23" t="s">
        <v>274</v>
      </c>
      <c r="B32" s="23" t="s">
        <v>275</v>
      </c>
      <c r="C32" s="24">
        <v>45828</v>
      </c>
      <c r="D32" s="25" t="str">
        <f t="shared" si="0"/>
        <v>Jun</v>
      </c>
      <c r="E32" s="23" t="s">
        <v>220</v>
      </c>
      <c r="F32" s="31">
        <v>94</v>
      </c>
      <c r="G32" s="26">
        <v>41787</v>
      </c>
      <c r="H32" s="26">
        <v>30032</v>
      </c>
      <c r="I32" s="26">
        <v>865</v>
      </c>
      <c r="J32" s="32">
        <f t="shared" si="1"/>
        <v>564.79495671232871</v>
      </c>
      <c r="K32" s="26">
        <v>1638</v>
      </c>
      <c r="L32" s="7">
        <f t="shared" si="2"/>
        <v>10325.205043287671</v>
      </c>
      <c r="M32" s="7">
        <f t="shared" si="3"/>
        <v>11963.205043287671</v>
      </c>
      <c r="N32" s="6">
        <f t="shared" si="4"/>
        <v>0.28629011518624625</v>
      </c>
    </row>
    <row r="33" spans="1:14" x14ac:dyDescent="0.2">
      <c r="A33" s="23" t="s">
        <v>276</v>
      </c>
      <c r="B33" s="23" t="s">
        <v>277</v>
      </c>
      <c r="C33" s="24">
        <v>45842</v>
      </c>
      <c r="D33" s="25" t="str">
        <f t="shared" si="0"/>
        <v>Jul</v>
      </c>
      <c r="E33" s="23" t="s">
        <v>217</v>
      </c>
      <c r="F33" s="31">
        <v>41</v>
      </c>
      <c r="G33" s="26">
        <v>32970</v>
      </c>
      <c r="H33" s="26">
        <v>26019</v>
      </c>
      <c r="I33" s="26">
        <v>1518</v>
      </c>
      <c r="J33" s="32">
        <f t="shared" si="1"/>
        <v>213.42886705479449</v>
      </c>
      <c r="K33" s="26">
        <v>767</v>
      </c>
      <c r="L33" s="7">
        <f t="shared" si="2"/>
        <v>5219.5711329452051</v>
      </c>
      <c r="M33" s="7">
        <f t="shared" si="3"/>
        <v>5986.5711329452051</v>
      </c>
      <c r="N33" s="6">
        <f t="shared" si="4"/>
        <v>0.1815763158309131</v>
      </c>
    </row>
    <row r="34" spans="1:14" x14ac:dyDescent="0.2">
      <c r="A34" s="23" t="s">
        <v>278</v>
      </c>
      <c r="B34" s="23" t="s">
        <v>279</v>
      </c>
      <c r="C34" s="24">
        <v>45860</v>
      </c>
      <c r="D34" s="25" t="str">
        <f t="shared" si="0"/>
        <v>Jul</v>
      </c>
      <c r="E34" s="23" t="s">
        <v>217</v>
      </c>
      <c r="F34" s="31">
        <v>82</v>
      </c>
      <c r="G34" s="26">
        <v>31130</v>
      </c>
      <c r="H34" s="26">
        <v>23268</v>
      </c>
      <c r="I34" s="26">
        <v>784</v>
      </c>
      <c r="J34" s="32">
        <f t="shared" si="1"/>
        <v>381.72588328767114</v>
      </c>
      <c r="K34" s="26">
        <v>1018</v>
      </c>
      <c r="L34" s="7">
        <f t="shared" si="2"/>
        <v>6696.2741167123286</v>
      </c>
      <c r="M34" s="7">
        <f t="shared" si="3"/>
        <v>7714.2741167123286</v>
      </c>
      <c r="N34" s="6">
        <f t="shared" si="4"/>
        <v>0.24780835582114771</v>
      </c>
    </row>
    <row r="35" spans="1:14" x14ac:dyDescent="0.2">
      <c r="A35" s="23" t="s">
        <v>280</v>
      </c>
      <c r="B35" s="23" t="s">
        <v>281</v>
      </c>
      <c r="C35" s="24">
        <v>45861</v>
      </c>
      <c r="D35" s="25" t="str">
        <f t="shared" si="0"/>
        <v>Jul</v>
      </c>
      <c r="E35" s="23" t="s">
        <v>217</v>
      </c>
      <c r="F35" s="31">
        <v>81</v>
      </c>
      <c r="G35" s="26">
        <v>35688</v>
      </c>
      <c r="H35" s="26">
        <v>28827</v>
      </c>
      <c r="I35" s="26">
        <v>567</v>
      </c>
      <c r="J35" s="32">
        <f t="shared" si="1"/>
        <v>467.15733061643829</v>
      </c>
      <c r="K35" s="26">
        <v>988</v>
      </c>
      <c r="L35" s="7">
        <f t="shared" si="2"/>
        <v>5826.8426693835618</v>
      </c>
      <c r="M35" s="7">
        <f t="shared" si="3"/>
        <v>6814.8426693835618</v>
      </c>
      <c r="N35" s="6">
        <f t="shared" si="4"/>
        <v>0.19095613846064677</v>
      </c>
    </row>
    <row r="36" spans="1:14" x14ac:dyDescent="0.2">
      <c r="A36" s="23" t="s">
        <v>282</v>
      </c>
      <c r="B36" s="23" t="s">
        <v>283</v>
      </c>
      <c r="C36" s="24">
        <v>45864</v>
      </c>
      <c r="D36" s="25" t="str">
        <f t="shared" ref="D36:D53" si="5">TEXT(C36,"mmm")</f>
        <v>Jul</v>
      </c>
      <c r="E36" s="23" t="s">
        <v>217</v>
      </c>
      <c r="F36" s="31">
        <v>87</v>
      </c>
      <c r="G36" s="26">
        <v>35453</v>
      </c>
      <c r="H36" s="26">
        <v>26530</v>
      </c>
      <c r="I36" s="26">
        <v>1154</v>
      </c>
      <c r="J36" s="32">
        <f t="shared" ref="J36:J53" si="6">F36*H36*RiskAdjustedFloorPlanRate/365</f>
        <v>461.78008972602737</v>
      </c>
      <c r="K36" s="26">
        <v>1505</v>
      </c>
      <c r="L36" s="7">
        <f t="shared" ref="L36:L53" si="7">G36-H36-I36-J36</f>
        <v>7307.2199102739723</v>
      </c>
      <c r="M36" s="7">
        <f t="shared" ref="M36:M53" si="8">L36+K36</f>
        <v>8812.2199102739723</v>
      </c>
      <c r="N36" s="6">
        <f t="shared" ref="N36:N53" si="9">IFERROR(M36/G36,0)</f>
        <v>0.24856062703505971</v>
      </c>
    </row>
    <row r="37" spans="1:14" x14ac:dyDescent="0.2">
      <c r="A37" s="23" t="s">
        <v>284</v>
      </c>
      <c r="B37" s="23" t="s">
        <v>285</v>
      </c>
      <c r="C37" s="24">
        <v>45871</v>
      </c>
      <c r="D37" s="25" t="str">
        <f t="shared" si="5"/>
        <v>Aug</v>
      </c>
      <c r="E37" s="23" t="s">
        <v>217</v>
      </c>
      <c r="F37" s="31">
        <v>41</v>
      </c>
      <c r="G37" s="26">
        <v>41798</v>
      </c>
      <c r="H37" s="26">
        <v>30019</v>
      </c>
      <c r="I37" s="26">
        <v>523</v>
      </c>
      <c r="J37" s="32">
        <f t="shared" si="6"/>
        <v>246.24009993150682</v>
      </c>
      <c r="K37" s="26">
        <v>1551</v>
      </c>
      <c r="L37" s="7">
        <f t="shared" si="7"/>
        <v>11009.759900068493</v>
      </c>
      <c r="M37" s="7">
        <f t="shared" si="8"/>
        <v>12560.759900068493</v>
      </c>
      <c r="N37" s="6">
        <f t="shared" si="9"/>
        <v>0.30051102684502828</v>
      </c>
    </row>
    <row r="38" spans="1:14" x14ac:dyDescent="0.2">
      <c r="A38" s="23" t="s">
        <v>286</v>
      </c>
      <c r="B38" s="23" t="s">
        <v>287</v>
      </c>
      <c r="C38" s="24">
        <v>45878</v>
      </c>
      <c r="D38" s="25" t="str">
        <f t="shared" si="5"/>
        <v>Aug</v>
      </c>
      <c r="E38" s="23" t="s">
        <v>227</v>
      </c>
      <c r="F38" s="31">
        <v>91</v>
      </c>
      <c r="G38" s="26">
        <v>23086</v>
      </c>
      <c r="H38" s="26">
        <v>18812</v>
      </c>
      <c r="I38" s="26">
        <v>1317</v>
      </c>
      <c r="J38" s="32">
        <f t="shared" si="6"/>
        <v>342.49565287671231</v>
      </c>
      <c r="K38" s="26">
        <v>1592</v>
      </c>
      <c r="L38" s="7">
        <f t="shared" si="7"/>
        <v>2614.5043471232875</v>
      </c>
      <c r="M38" s="7">
        <f t="shared" si="8"/>
        <v>4206.5043471232875</v>
      </c>
      <c r="N38" s="6">
        <f t="shared" si="9"/>
        <v>0.18221018570229955</v>
      </c>
    </row>
    <row r="39" spans="1:14" x14ac:dyDescent="0.2">
      <c r="A39" s="23" t="s">
        <v>288</v>
      </c>
      <c r="B39" s="23" t="s">
        <v>289</v>
      </c>
      <c r="C39" s="24">
        <v>45904</v>
      </c>
      <c r="D39" s="25" t="str">
        <f t="shared" si="5"/>
        <v>Sep</v>
      </c>
      <c r="E39" s="23" t="s">
        <v>220</v>
      </c>
      <c r="F39" s="31">
        <v>83</v>
      </c>
      <c r="G39" s="26">
        <v>20228</v>
      </c>
      <c r="H39" s="26">
        <v>14932</v>
      </c>
      <c r="I39" s="26">
        <v>1701</v>
      </c>
      <c r="J39" s="32">
        <f t="shared" si="6"/>
        <v>247.95608739726023</v>
      </c>
      <c r="K39" s="26">
        <v>1493</v>
      </c>
      <c r="L39" s="7">
        <f t="shared" si="7"/>
        <v>3347.04391260274</v>
      </c>
      <c r="M39" s="7">
        <f t="shared" si="8"/>
        <v>4840.0439126027395</v>
      </c>
      <c r="N39" s="6">
        <f t="shared" si="9"/>
        <v>0.239274466709647</v>
      </c>
    </row>
    <row r="40" spans="1:14" x14ac:dyDescent="0.2">
      <c r="A40" s="23" t="s">
        <v>290</v>
      </c>
      <c r="B40" s="23" t="s">
        <v>291</v>
      </c>
      <c r="C40" s="24">
        <v>45905</v>
      </c>
      <c r="D40" s="25" t="str">
        <f t="shared" si="5"/>
        <v>Sep</v>
      </c>
      <c r="E40" s="23" t="s">
        <v>220</v>
      </c>
      <c r="F40" s="31">
        <v>26</v>
      </c>
      <c r="G40" s="26">
        <v>15370</v>
      </c>
      <c r="H40" s="26">
        <v>11469</v>
      </c>
      <c r="I40" s="26">
        <v>331</v>
      </c>
      <c r="J40" s="32">
        <f t="shared" si="6"/>
        <v>59.659224246575342</v>
      </c>
      <c r="K40" s="26">
        <v>1332</v>
      </c>
      <c r="L40" s="7">
        <f t="shared" si="7"/>
        <v>3510.3407757534246</v>
      </c>
      <c r="M40" s="7">
        <f t="shared" si="8"/>
        <v>4842.3407757534242</v>
      </c>
      <c r="N40" s="6">
        <f t="shared" si="9"/>
        <v>0.31505144930080836</v>
      </c>
    </row>
    <row r="41" spans="1:14" x14ac:dyDescent="0.2">
      <c r="A41" s="23" t="s">
        <v>292</v>
      </c>
      <c r="B41" s="23" t="s">
        <v>293</v>
      </c>
      <c r="C41" s="24">
        <v>45940</v>
      </c>
      <c r="D41" s="25" t="str">
        <f t="shared" si="5"/>
        <v>Oct</v>
      </c>
      <c r="E41" s="23" t="s">
        <v>220</v>
      </c>
      <c r="F41" s="31">
        <v>80</v>
      </c>
      <c r="G41" s="26">
        <v>41319</v>
      </c>
      <c r="H41" s="26">
        <v>28925</v>
      </c>
      <c r="I41" s="26">
        <v>837</v>
      </c>
      <c r="J41" s="32">
        <f t="shared" si="6"/>
        <v>462.95849315068489</v>
      </c>
      <c r="K41" s="26">
        <v>1030</v>
      </c>
      <c r="L41" s="7">
        <f t="shared" si="7"/>
        <v>11094.041506849315</v>
      </c>
      <c r="M41" s="7">
        <f t="shared" si="8"/>
        <v>12124.041506849315</v>
      </c>
      <c r="N41" s="6">
        <f t="shared" si="9"/>
        <v>0.29342533717779506</v>
      </c>
    </row>
    <row r="42" spans="1:14" x14ac:dyDescent="0.2">
      <c r="A42" s="23" t="s">
        <v>294</v>
      </c>
      <c r="B42" s="23" t="s">
        <v>295</v>
      </c>
      <c r="C42" s="24">
        <v>45954</v>
      </c>
      <c r="D42" s="25" t="str">
        <f t="shared" si="5"/>
        <v>Oct</v>
      </c>
      <c r="E42" s="23" t="s">
        <v>227</v>
      </c>
      <c r="F42" s="31">
        <v>40</v>
      </c>
      <c r="G42" s="26">
        <v>19324</v>
      </c>
      <c r="H42" s="26">
        <v>16356</v>
      </c>
      <c r="I42" s="26">
        <v>612</v>
      </c>
      <c r="J42" s="32">
        <f t="shared" si="6"/>
        <v>130.89281095890411</v>
      </c>
      <c r="K42" s="26">
        <v>1444</v>
      </c>
      <c r="L42" s="7">
        <f t="shared" si="7"/>
        <v>2225.1071890410958</v>
      </c>
      <c r="M42" s="7">
        <f t="shared" si="8"/>
        <v>3669.1071890410958</v>
      </c>
      <c r="N42" s="6">
        <f t="shared" si="9"/>
        <v>0.18987306919070046</v>
      </c>
    </row>
    <row r="43" spans="1:14" x14ac:dyDescent="0.2">
      <c r="A43" s="23" t="s">
        <v>296</v>
      </c>
      <c r="B43" s="23" t="s">
        <v>297</v>
      </c>
      <c r="C43" s="24">
        <v>45956</v>
      </c>
      <c r="D43" s="25" t="str">
        <f t="shared" si="5"/>
        <v>Oct</v>
      </c>
      <c r="E43" s="23" t="s">
        <v>217</v>
      </c>
      <c r="F43" s="31">
        <v>77</v>
      </c>
      <c r="G43" s="26">
        <v>14256</v>
      </c>
      <c r="H43" s="26">
        <v>11407</v>
      </c>
      <c r="I43" s="26">
        <v>1385</v>
      </c>
      <c r="J43" s="32">
        <f t="shared" si="6"/>
        <v>175.72796020547943</v>
      </c>
      <c r="K43" s="26">
        <v>1213</v>
      </c>
      <c r="L43" s="7">
        <f t="shared" si="7"/>
        <v>1288.2720397945207</v>
      </c>
      <c r="M43" s="7">
        <f t="shared" si="8"/>
        <v>2501.2720397945204</v>
      </c>
      <c r="N43" s="6">
        <f t="shared" si="9"/>
        <v>0.17545398707874021</v>
      </c>
    </row>
    <row r="44" spans="1:14" x14ac:dyDescent="0.2">
      <c r="A44" s="23" t="s">
        <v>298</v>
      </c>
      <c r="B44" s="23" t="s">
        <v>299</v>
      </c>
      <c r="C44" s="24">
        <v>45964</v>
      </c>
      <c r="D44" s="25" t="str">
        <f t="shared" si="5"/>
        <v>Nov</v>
      </c>
      <c r="E44" s="23" t="s">
        <v>220</v>
      </c>
      <c r="F44" s="31">
        <v>75</v>
      </c>
      <c r="G44" s="26">
        <v>35753</v>
      </c>
      <c r="H44" s="26">
        <v>28421</v>
      </c>
      <c r="I44" s="26">
        <v>936</v>
      </c>
      <c r="J44" s="32">
        <f t="shared" si="6"/>
        <v>426.4609982876712</v>
      </c>
      <c r="K44" s="26">
        <v>791</v>
      </c>
      <c r="L44" s="7">
        <f t="shared" si="7"/>
        <v>5969.5390017123291</v>
      </c>
      <c r="M44" s="7">
        <f t="shared" si="8"/>
        <v>6760.5390017123291</v>
      </c>
      <c r="N44" s="6">
        <f t="shared" si="9"/>
        <v>0.18909011835964337</v>
      </c>
    </row>
    <row r="45" spans="1:14" x14ac:dyDescent="0.2">
      <c r="A45" s="23" t="s">
        <v>300</v>
      </c>
      <c r="B45" s="23" t="s">
        <v>301</v>
      </c>
      <c r="C45" s="24">
        <v>45965</v>
      </c>
      <c r="D45" s="25" t="str">
        <f t="shared" si="5"/>
        <v>Nov</v>
      </c>
      <c r="E45" s="23" t="s">
        <v>227</v>
      </c>
      <c r="F45" s="31">
        <v>43</v>
      </c>
      <c r="G45" s="26">
        <v>17782</v>
      </c>
      <c r="H45" s="26">
        <v>14820</v>
      </c>
      <c r="I45" s="26">
        <v>1770</v>
      </c>
      <c r="J45" s="32">
        <f t="shared" si="6"/>
        <v>127.49564794520546</v>
      </c>
      <c r="K45" s="26">
        <v>1733</v>
      </c>
      <c r="L45" s="7">
        <f t="shared" si="7"/>
        <v>1064.5043520547945</v>
      </c>
      <c r="M45" s="7">
        <f t="shared" si="8"/>
        <v>2797.5043520547943</v>
      </c>
      <c r="N45" s="6">
        <f t="shared" si="9"/>
        <v>0.15732225576733744</v>
      </c>
    </row>
    <row r="46" spans="1:14" x14ac:dyDescent="0.2">
      <c r="A46" s="23" t="s">
        <v>302</v>
      </c>
      <c r="B46" s="23" t="s">
        <v>303</v>
      </c>
      <c r="C46" s="24">
        <v>45968</v>
      </c>
      <c r="D46" s="25" t="str">
        <f t="shared" si="5"/>
        <v>Nov</v>
      </c>
      <c r="E46" s="23" t="s">
        <v>217</v>
      </c>
      <c r="F46" s="31">
        <v>70</v>
      </c>
      <c r="G46" s="26">
        <v>40009</v>
      </c>
      <c r="H46" s="26">
        <v>33414</v>
      </c>
      <c r="I46" s="26">
        <v>1757</v>
      </c>
      <c r="J46" s="32">
        <f t="shared" si="6"/>
        <v>467.95620410958901</v>
      </c>
      <c r="K46" s="26">
        <v>947</v>
      </c>
      <c r="L46" s="7">
        <f t="shared" si="7"/>
        <v>4370.0437958904113</v>
      </c>
      <c r="M46" s="7">
        <f t="shared" si="8"/>
        <v>5317.0437958904113</v>
      </c>
      <c r="N46" s="6">
        <f t="shared" si="9"/>
        <v>0.13289619325377819</v>
      </c>
    </row>
    <row r="47" spans="1:14" x14ac:dyDescent="0.2">
      <c r="A47" s="23" t="s">
        <v>304</v>
      </c>
      <c r="B47" s="23" t="s">
        <v>305</v>
      </c>
      <c r="C47" s="24">
        <v>45969</v>
      </c>
      <c r="D47" s="25" t="str">
        <f t="shared" si="5"/>
        <v>Nov</v>
      </c>
      <c r="E47" s="23" t="s">
        <v>220</v>
      </c>
      <c r="F47" s="31">
        <v>66</v>
      </c>
      <c r="G47" s="26">
        <v>16538</v>
      </c>
      <c r="H47" s="26">
        <v>13346</v>
      </c>
      <c r="I47" s="26">
        <v>730</v>
      </c>
      <c r="J47" s="32">
        <f t="shared" si="6"/>
        <v>176.22753123287669</v>
      </c>
      <c r="K47" s="26">
        <v>1156</v>
      </c>
      <c r="L47" s="7">
        <f t="shared" si="7"/>
        <v>2285.7724687671234</v>
      </c>
      <c r="M47" s="7">
        <f t="shared" si="8"/>
        <v>3441.7724687671234</v>
      </c>
      <c r="N47" s="6">
        <f t="shared" si="9"/>
        <v>0.2081129803342075</v>
      </c>
    </row>
    <row r="48" spans="1:14" x14ac:dyDescent="0.2">
      <c r="A48" s="23" t="s">
        <v>306</v>
      </c>
      <c r="B48" s="23" t="s">
        <v>307</v>
      </c>
      <c r="C48" s="24">
        <v>45975</v>
      </c>
      <c r="D48" s="25" t="str">
        <f t="shared" si="5"/>
        <v>Nov</v>
      </c>
      <c r="E48" s="23" t="s">
        <v>220</v>
      </c>
      <c r="F48" s="31">
        <v>15</v>
      </c>
      <c r="G48" s="26">
        <v>14116</v>
      </c>
      <c r="H48" s="26">
        <v>10587</v>
      </c>
      <c r="I48" s="26">
        <v>517</v>
      </c>
      <c r="J48" s="32">
        <f t="shared" si="6"/>
        <v>31.771877054794519</v>
      </c>
      <c r="K48" s="26">
        <v>1904</v>
      </c>
      <c r="L48" s="7">
        <f t="shared" si="7"/>
        <v>2980.2281229452055</v>
      </c>
      <c r="M48" s="7">
        <f t="shared" si="8"/>
        <v>4884.2281229452055</v>
      </c>
      <c r="N48" s="6">
        <f t="shared" si="9"/>
        <v>0.34600652613666799</v>
      </c>
    </row>
    <row r="49" spans="1:14" x14ac:dyDescent="0.2">
      <c r="A49" s="23" t="s">
        <v>308</v>
      </c>
      <c r="B49" s="23" t="s">
        <v>309</v>
      </c>
      <c r="C49" s="24">
        <v>45978</v>
      </c>
      <c r="D49" s="25" t="str">
        <f t="shared" si="5"/>
        <v>Nov</v>
      </c>
      <c r="E49" s="23" t="s">
        <v>217</v>
      </c>
      <c r="F49" s="31">
        <v>86</v>
      </c>
      <c r="G49" s="26">
        <v>24397</v>
      </c>
      <c r="H49" s="26">
        <v>20554</v>
      </c>
      <c r="I49" s="26">
        <v>1156</v>
      </c>
      <c r="J49" s="32">
        <f t="shared" si="6"/>
        <v>353.64987150684925</v>
      </c>
      <c r="K49" s="26">
        <v>1854</v>
      </c>
      <c r="L49" s="7">
        <f t="shared" si="7"/>
        <v>2333.3501284931508</v>
      </c>
      <c r="M49" s="7">
        <f t="shared" si="8"/>
        <v>4187.3501284931508</v>
      </c>
      <c r="N49" s="6">
        <f t="shared" si="9"/>
        <v>0.17163381270210071</v>
      </c>
    </row>
    <row r="50" spans="1:14" x14ac:dyDescent="0.2">
      <c r="A50" s="23" t="s">
        <v>310</v>
      </c>
      <c r="B50" s="23" t="s">
        <v>311</v>
      </c>
      <c r="C50" s="24">
        <v>45984</v>
      </c>
      <c r="D50" s="25" t="str">
        <f t="shared" si="5"/>
        <v>Nov</v>
      </c>
      <c r="E50" s="23" t="s">
        <v>220</v>
      </c>
      <c r="F50" s="31">
        <v>40</v>
      </c>
      <c r="G50" s="26">
        <v>22703</v>
      </c>
      <c r="H50" s="26">
        <v>17239</v>
      </c>
      <c r="I50" s="26">
        <v>1625</v>
      </c>
      <c r="J50" s="32">
        <f t="shared" si="6"/>
        <v>137.95923013698626</v>
      </c>
      <c r="K50" s="26">
        <v>1921</v>
      </c>
      <c r="L50" s="7">
        <f t="shared" si="7"/>
        <v>3701.0407698630138</v>
      </c>
      <c r="M50" s="7">
        <f t="shared" si="8"/>
        <v>5622.0407698630133</v>
      </c>
      <c r="N50" s="6">
        <f t="shared" si="9"/>
        <v>0.24763426727141846</v>
      </c>
    </row>
    <row r="51" spans="1:14" x14ac:dyDescent="0.2">
      <c r="A51" s="23" t="s">
        <v>312</v>
      </c>
      <c r="B51" s="23" t="s">
        <v>313</v>
      </c>
      <c r="C51" s="24">
        <v>45989</v>
      </c>
      <c r="D51" s="25" t="str">
        <f t="shared" si="5"/>
        <v>Nov</v>
      </c>
      <c r="E51" s="23" t="s">
        <v>220</v>
      </c>
      <c r="F51" s="31">
        <v>74</v>
      </c>
      <c r="G51" s="26">
        <v>30008</v>
      </c>
      <c r="H51" s="26">
        <v>22135</v>
      </c>
      <c r="I51" s="26">
        <v>354</v>
      </c>
      <c r="J51" s="32">
        <f t="shared" si="6"/>
        <v>327.71019109589037</v>
      </c>
      <c r="K51" s="26">
        <v>789</v>
      </c>
      <c r="L51" s="7">
        <f t="shared" si="7"/>
        <v>7191.28980890411</v>
      </c>
      <c r="M51" s="7">
        <f t="shared" si="8"/>
        <v>7980.28980890411</v>
      </c>
      <c r="N51" s="6">
        <f t="shared" si="9"/>
        <v>0.26593874329859069</v>
      </c>
    </row>
    <row r="52" spans="1:14" x14ac:dyDescent="0.2">
      <c r="A52" s="23" t="s">
        <v>314</v>
      </c>
      <c r="B52" s="23" t="s">
        <v>315</v>
      </c>
      <c r="C52" s="24">
        <v>45992</v>
      </c>
      <c r="D52" s="25" t="str">
        <f t="shared" si="5"/>
        <v>Dec</v>
      </c>
      <c r="E52" s="23" t="s">
        <v>227</v>
      </c>
      <c r="F52" s="31">
        <v>64</v>
      </c>
      <c r="G52" s="26">
        <v>21170</v>
      </c>
      <c r="H52" s="26">
        <v>15377</v>
      </c>
      <c r="I52" s="26">
        <v>1675</v>
      </c>
      <c r="J52" s="32">
        <f t="shared" si="6"/>
        <v>196.89300602739723</v>
      </c>
      <c r="K52" s="26">
        <v>1660</v>
      </c>
      <c r="L52" s="7">
        <f t="shared" si="7"/>
        <v>3921.1069939726026</v>
      </c>
      <c r="M52" s="7">
        <f t="shared" si="8"/>
        <v>5581.1069939726021</v>
      </c>
      <c r="N52" s="6">
        <f t="shared" si="9"/>
        <v>0.26363282919095898</v>
      </c>
    </row>
    <row r="53" spans="1:14" x14ac:dyDescent="0.2">
      <c r="A53" s="23" t="s">
        <v>316</v>
      </c>
      <c r="B53" s="23" t="s">
        <v>317</v>
      </c>
      <c r="C53" s="24">
        <v>46008</v>
      </c>
      <c r="D53" s="25" t="str">
        <f t="shared" si="5"/>
        <v>Dec</v>
      </c>
      <c r="E53" s="23" t="s">
        <v>220</v>
      </c>
      <c r="F53" s="31">
        <v>80</v>
      </c>
      <c r="G53" s="26">
        <v>28611</v>
      </c>
      <c r="H53" s="26">
        <v>23878</v>
      </c>
      <c r="I53" s="26">
        <v>1773</v>
      </c>
      <c r="J53" s="32">
        <f t="shared" si="6"/>
        <v>382.17883835616436</v>
      </c>
      <c r="K53" s="26">
        <v>1572</v>
      </c>
      <c r="L53" s="7">
        <f t="shared" si="7"/>
        <v>2577.8211616438357</v>
      </c>
      <c r="M53" s="7">
        <f t="shared" si="8"/>
        <v>4149.8211616438357</v>
      </c>
      <c r="N53" s="6">
        <f t="shared" si="9"/>
        <v>0.14504285630155658</v>
      </c>
    </row>
    <row r="56" spans="1:14" ht="16" x14ac:dyDescent="0.2">
      <c r="A56" s="28" t="s">
        <v>318</v>
      </c>
    </row>
    <row r="57" spans="1:14" x14ac:dyDescent="0.2">
      <c r="A57" s="1" t="s">
        <v>81</v>
      </c>
      <c r="B57" s="1" t="s">
        <v>319</v>
      </c>
      <c r="C57" s="1" t="s">
        <v>320</v>
      </c>
      <c r="D57" s="1" t="s">
        <v>321</v>
      </c>
      <c r="E57" s="1" t="s">
        <v>322</v>
      </c>
      <c r="F57" s="1" t="s">
        <v>323</v>
      </c>
      <c r="G57" s="1" t="s">
        <v>203</v>
      </c>
      <c r="H57" s="1" t="s">
        <v>205</v>
      </c>
    </row>
    <row r="58" spans="1:14" x14ac:dyDescent="0.2">
      <c r="A58" s="2" t="s">
        <v>2</v>
      </c>
      <c r="B58" s="33">
        <f t="shared" ref="B58:B69" si="10">COUNTIFS($D$4:$D$53,A58)</f>
        <v>7</v>
      </c>
      <c r="C58" s="34">
        <f t="shared" ref="C58:C69" si="11">SUMIFS($G$4:$G$53,$D$4:$D$53,A58)</f>
        <v>191388</v>
      </c>
      <c r="D58" s="34">
        <f t="shared" ref="D58:D69" si="12">IFERROR(SUMPRODUCT(($D$4:$D$53=A58)*$L$4:$L$53)/MAX(COUNTIFS($D$4:$D$53,A58),1),0)</f>
        <v>4195.6749221135033</v>
      </c>
      <c r="E58" s="34">
        <f t="shared" ref="E58:E69" si="13">SUMIFS($L$4:$L$53,$D$4:$D$53,A58)</f>
        <v>29369.724454794523</v>
      </c>
      <c r="F58" s="33">
        <f t="shared" ref="F58:F69" si="14">IFERROR(SUMPRODUCT(($D$4:$D$53=A58)*$F$4:$F$53)/MAX(COUNTIFS($D$4:$D$53,A58),1),0)</f>
        <v>50.571428571428569</v>
      </c>
      <c r="G58" s="34">
        <f t="shared" ref="G58:G69" si="15">SUMIFS($K$4:$K$53,$D$4:$D$53,A58)</f>
        <v>10113</v>
      </c>
      <c r="H58" s="34">
        <f t="shared" ref="H58:H69" si="16">SUMIFS($M$4:$M$53,$D$4:$D$53,A58)</f>
        <v>39482.724454794523</v>
      </c>
    </row>
    <row r="59" spans="1:14" x14ac:dyDescent="0.2">
      <c r="A59" s="2" t="s">
        <v>3</v>
      </c>
      <c r="B59" s="33">
        <f t="shared" si="10"/>
        <v>5</v>
      </c>
      <c r="C59" s="34">
        <f t="shared" si="11"/>
        <v>135413</v>
      </c>
      <c r="D59" s="34">
        <f t="shared" si="12"/>
        <v>5193.0293866164384</v>
      </c>
      <c r="E59" s="34">
        <f t="shared" si="13"/>
        <v>25965.146933082193</v>
      </c>
      <c r="F59" s="33">
        <f t="shared" si="14"/>
        <v>42</v>
      </c>
      <c r="G59" s="34">
        <f t="shared" si="15"/>
        <v>6424</v>
      </c>
      <c r="H59" s="34">
        <f t="shared" si="16"/>
        <v>32389.146933082193</v>
      </c>
    </row>
    <row r="60" spans="1:14" x14ac:dyDescent="0.2">
      <c r="A60" s="2" t="s">
        <v>4</v>
      </c>
      <c r="B60" s="33">
        <f t="shared" si="10"/>
        <v>2</v>
      </c>
      <c r="C60" s="34">
        <f t="shared" si="11"/>
        <v>48495</v>
      </c>
      <c r="D60" s="34">
        <f t="shared" si="12"/>
        <v>4108.2771604109594</v>
      </c>
      <c r="E60" s="34">
        <f t="shared" si="13"/>
        <v>8216.5543208219187</v>
      </c>
      <c r="F60" s="33">
        <f t="shared" si="14"/>
        <v>52.5</v>
      </c>
      <c r="G60" s="34">
        <f t="shared" si="15"/>
        <v>3561</v>
      </c>
      <c r="H60" s="34">
        <f t="shared" si="16"/>
        <v>11777.554320821917</v>
      </c>
    </row>
    <row r="61" spans="1:14" x14ac:dyDescent="0.2">
      <c r="A61" s="2" t="s">
        <v>5</v>
      </c>
      <c r="B61" s="33">
        <f t="shared" si="10"/>
        <v>8</v>
      </c>
      <c r="C61" s="34">
        <f t="shared" si="11"/>
        <v>232006</v>
      </c>
      <c r="D61" s="34">
        <f t="shared" si="12"/>
        <v>5024.8747281592468</v>
      </c>
      <c r="E61" s="34">
        <f t="shared" si="13"/>
        <v>40198.997825273975</v>
      </c>
      <c r="F61" s="33">
        <f t="shared" si="14"/>
        <v>47</v>
      </c>
      <c r="G61" s="34">
        <f t="shared" si="15"/>
        <v>11037</v>
      </c>
      <c r="H61" s="34">
        <f t="shared" si="16"/>
        <v>51235.997825273975</v>
      </c>
    </row>
    <row r="62" spans="1:14" x14ac:dyDescent="0.2">
      <c r="A62" s="2" t="s">
        <v>6</v>
      </c>
      <c r="B62" s="33">
        <f t="shared" si="10"/>
        <v>5</v>
      </c>
      <c r="C62" s="34">
        <f t="shared" si="11"/>
        <v>138771</v>
      </c>
      <c r="D62" s="34">
        <f t="shared" si="12"/>
        <v>3960.657062452055</v>
      </c>
      <c r="E62" s="34">
        <f t="shared" si="13"/>
        <v>19803.285312260276</v>
      </c>
      <c r="F62" s="33">
        <f t="shared" si="14"/>
        <v>59</v>
      </c>
      <c r="G62" s="34">
        <f t="shared" si="15"/>
        <v>4803</v>
      </c>
      <c r="H62" s="34">
        <f t="shared" si="16"/>
        <v>24606.285312260276</v>
      </c>
    </row>
    <row r="63" spans="1:14" x14ac:dyDescent="0.2">
      <c r="A63" s="2" t="s">
        <v>7</v>
      </c>
      <c r="B63" s="33">
        <f t="shared" si="10"/>
        <v>2</v>
      </c>
      <c r="C63" s="34">
        <f t="shared" si="11"/>
        <v>60321</v>
      </c>
      <c r="D63" s="34">
        <f t="shared" si="12"/>
        <v>7189.3073483561639</v>
      </c>
      <c r="E63" s="34">
        <f t="shared" si="13"/>
        <v>14378.614696712328</v>
      </c>
      <c r="F63" s="33">
        <f t="shared" si="14"/>
        <v>57</v>
      </c>
      <c r="G63" s="34">
        <f t="shared" si="15"/>
        <v>3659</v>
      </c>
      <c r="H63" s="34">
        <f t="shared" si="16"/>
        <v>18037.614696712328</v>
      </c>
    </row>
    <row r="64" spans="1:14" x14ac:dyDescent="0.2">
      <c r="A64" s="2" t="s">
        <v>8</v>
      </c>
      <c r="B64" s="33">
        <f t="shared" si="10"/>
        <v>4</v>
      </c>
      <c r="C64" s="34">
        <f t="shared" si="11"/>
        <v>135241</v>
      </c>
      <c r="D64" s="34">
        <f t="shared" si="12"/>
        <v>6262.4769573287667</v>
      </c>
      <c r="E64" s="34">
        <f t="shared" si="13"/>
        <v>25049.907829315067</v>
      </c>
      <c r="F64" s="33">
        <f t="shared" si="14"/>
        <v>72.75</v>
      </c>
      <c r="G64" s="34">
        <f t="shared" si="15"/>
        <v>4278</v>
      </c>
      <c r="H64" s="34">
        <f t="shared" si="16"/>
        <v>29327.907829315067</v>
      </c>
    </row>
    <row r="65" spans="1:8" x14ac:dyDescent="0.2">
      <c r="A65" s="2" t="s">
        <v>9</v>
      </c>
      <c r="B65" s="33">
        <f t="shared" si="10"/>
        <v>2</v>
      </c>
      <c r="C65" s="34">
        <f t="shared" si="11"/>
        <v>64884</v>
      </c>
      <c r="D65" s="34">
        <f t="shared" si="12"/>
        <v>6812.1321235958903</v>
      </c>
      <c r="E65" s="34">
        <f t="shared" si="13"/>
        <v>13624.264247191781</v>
      </c>
      <c r="F65" s="33">
        <f t="shared" si="14"/>
        <v>66</v>
      </c>
      <c r="G65" s="34">
        <f t="shared" si="15"/>
        <v>3143</v>
      </c>
      <c r="H65" s="34">
        <f t="shared" si="16"/>
        <v>16767.264247191779</v>
      </c>
    </row>
    <row r="66" spans="1:8" x14ac:dyDescent="0.2">
      <c r="A66" s="2" t="s">
        <v>10</v>
      </c>
      <c r="B66" s="33">
        <f t="shared" si="10"/>
        <v>2</v>
      </c>
      <c r="C66" s="34">
        <f t="shared" si="11"/>
        <v>35598</v>
      </c>
      <c r="D66" s="34">
        <f t="shared" si="12"/>
        <v>3428.6923441780823</v>
      </c>
      <c r="E66" s="34">
        <f t="shared" si="13"/>
        <v>6857.3846883561646</v>
      </c>
      <c r="F66" s="33">
        <f t="shared" si="14"/>
        <v>54.5</v>
      </c>
      <c r="G66" s="34">
        <f t="shared" si="15"/>
        <v>2825</v>
      </c>
      <c r="H66" s="34">
        <f t="shared" si="16"/>
        <v>9682.3846883561637</v>
      </c>
    </row>
    <row r="67" spans="1:8" x14ac:dyDescent="0.2">
      <c r="A67" s="2" t="s">
        <v>11</v>
      </c>
      <c r="B67" s="33">
        <f t="shared" si="10"/>
        <v>3</v>
      </c>
      <c r="C67" s="34">
        <f t="shared" si="11"/>
        <v>74899</v>
      </c>
      <c r="D67" s="34">
        <f t="shared" si="12"/>
        <v>4869.1402452283101</v>
      </c>
      <c r="E67" s="34">
        <f t="shared" si="13"/>
        <v>14607.420735684931</v>
      </c>
      <c r="F67" s="33">
        <f t="shared" si="14"/>
        <v>65.666666666666671</v>
      </c>
      <c r="G67" s="34">
        <f t="shared" si="15"/>
        <v>3687</v>
      </c>
      <c r="H67" s="34">
        <f t="shared" si="16"/>
        <v>18294.420735684929</v>
      </c>
    </row>
    <row r="68" spans="1:8" x14ac:dyDescent="0.2">
      <c r="A68" s="2" t="s">
        <v>12</v>
      </c>
      <c r="B68" s="33">
        <f t="shared" si="10"/>
        <v>8</v>
      </c>
      <c r="C68" s="34">
        <f t="shared" si="11"/>
        <v>201306</v>
      </c>
      <c r="D68" s="34">
        <f t="shared" si="12"/>
        <v>3736.9710560787671</v>
      </c>
      <c r="E68" s="34">
        <f t="shared" si="13"/>
        <v>29895.768448630137</v>
      </c>
      <c r="F68" s="33">
        <f t="shared" si="14"/>
        <v>58.625</v>
      </c>
      <c r="G68" s="34">
        <f t="shared" si="15"/>
        <v>11095</v>
      </c>
      <c r="H68" s="34">
        <f t="shared" si="16"/>
        <v>40990.768448630137</v>
      </c>
    </row>
    <row r="69" spans="1:8" x14ac:dyDescent="0.2">
      <c r="A69" s="2" t="s">
        <v>13</v>
      </c>
      <c r="B69" s="33">
        <f t="shared" si="10"/>
        <v>2</v>
      </c>
      <c r="C69" s="34">
        <f t="shared" si="11"/>
        <v>49781</v>
      </c>
      <c r="D69" s="34">
        <f t="shared" si="12"/>
        <v>3249.4640778082194</v>
      </c>
      <c r="E69" s="34">
        <f t="shared" si="13"/>
        <v>6498.9281556164387</v>
      </c>
      <c r="F69" s="33">
        <f t="shared" si="14"/>
        <v>72</v>
      </c>
      <c r="G69" s="34">
        <f t="shared" si="15"/>
        <v>3232</v>
      </c>
      <c r="H69" s="34">
        <f t="shared" si="16"/>
        <v>9730.9281556164387</v>
      </c>
    </row>
    <row r="70" spans="1:8" x14ac:dyDescent="0.2">
      <c r="A70" s="2" t="s">
        <v>206</v>
      </c>
      <c r="B70" s="30">
        <f>SUM(B58:B69)</f>
        <v>50</v>
      </c>
      <c r="C70" s="9">
        <f>SUM(C58:C69)</f>
        <v>1368103</v>
      </c>
      <c r="E70" s="9">
        <f>SUM(E58:E69)</f>
        <v>234465.99764773971</v>
      </c>
      <c r="G70" s="9">
        <f>SUM(G58:G69)</f>
        <v>67857</v>
      </c>
      <c r="H70" s="9">
        <f>SUM(H58:H69)</f>
        <v>302322.99764773971</v>
      </c>
    </row>
  </sheetData>
  <mergeCells count="1"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69"/>
  <sheetViews>
    <sheetView workbookViewId="0">
      <pane ySplit="3" topLeftCell="A4" activePane="bottomLeft" state="frozen"/>
      <selection pane="bottomLeft" sqref="A1:J1"/>
    </sheetView>
  </sheetViews>
  <sheetFormatPr baseColWidth="10" defaultColWidth="8.83203125" defaultRowHeight="15" x14ac:dyDescent="0.2"/>
  <cols>
    <col min="1" max="3" width="10" customWidth="1"/>
    <col min="4" max="4" width="8" customWidth="1"/>
    <col min="5" max="5" width="16" customWidth="1"/>
    <col min="6" max="7" width="14" customWidth="1"/>
    <col min="8" max="8" width="12" customWidth="1"/>
    <col min="9" max="10" width="14" customWidth="1"/>
  </cols>
  <sheetData>
    <row r="1" spans="1:10" ht="18" x14ac:dyDescent="0.2">
      <c r="A1" s="44" t="s">
        <v>324</v>
      </c>
      <c r="B1" s="45"/>
      <c r="C1" s="45"/>
      <c r="D1" s="45"/>
      <c r="E1" s="45"/>
      <c r="F1" s="45"/>
      <c r="G1" s="45"/>
      <c r="H1" s="45"/>
      <c r="I1" s="45"/>
      <c r="J1" s="45"/>
    </row>
    <row r="3" spans="1:10" x14ac:dyDescent="0.2">
      <c r="A3" s="1" t="s">
        <v>325</v>
      </c>
      <c r="B3" s="1" t="s">
        <v>326</v>
      </c>
      <c r="C3" s="1" t="s">
        <v>327</v>
      </c>
      <c r="D3" s="1" t="s">
        <v>81</v>
      </c>
      <c r="E3" s="1" t="s">
        <v>328</v>
      </c>
      <c r="F3" s="1" t="s">
        <v>329</v>
      </c>
      <c r="G3" s="1" t="s">
        <v>330</v>
      </c>
      <c r="H3" s="1" t="s">
        <v>331</v>
      </c>
      <c r="I3" s="1" t="s">
        <v>332</v>
      </c>
      <c r="J3" s="1" t="s">
        <v>333</v>
      </c>
    </row>
    <row r="4" spans="1:10" x14ac:dyDescent="0.2">
      <c r="A4" s="23" t="s">
        <v>334</v>
      </c>
      <c r="B4" s="23" t="s">
        <v>218</v>
      </c>
      <c r="C4" s="23" t="s">
        <v>335</v>
      </c>
      <c r="D4" s="23" t="s">
        <v>2</v>
      </c>
      <c r="E4" s="23" t="s">
        <v>336</v>
      </c>
      <c r="F4" s="26">
        <v>627</v>
      </c>
      <c r="G4" s="26">
        <v>1524</v>
      </c>
      <c r="H4" s="26">
        <v>224</v>
      </c>
      <c r="I4" s="31">
        <v>1</v>
      </c>
      <c r="J4" s="7">
        <f t="shared" ref="J4:J35" si="0">G4-F4+H4</f>
        <v>1121</v>
      </c>
    </row>
    <row r="5" spans="1:10" x14ac:dyDescent="0.2">
      <c r="A5" s="23" t="s">
        <v>337</v>
      </c>
      <c r="B5" s="23" t="s">
        <v>223</v>
      </c>
      <c r="C5" s="23" t="s">
        <v>335</v>
      </c>
      <c r="D5" s="23" t="s">
        <v>2</v>
      </c>
      <c r="E5" s="23" t="s">
        <v>338</v>
      </c>
      <c r="F5" s="26">
        <v>461</v>
      </c>
      <c r="G5" s="26">
        <v>923</v>
      </c>
      <c r="H5" s="26">
        <v>199</v>
      </c>
      <c r="I5" s="31">
        <v>1</v>
      </c>
      <c r="J5" s="7">
        <f t="shared" si="0"/>
        <v>661</v>
      </c>
    </row>
    <row r="6" spans="1:10" x14ac:dyDescent="0.2">
      <c r="A6" s="23" t="s">
        <v>339</v>
      </c>
      <c r="B6" s="23" t="s">
        <v>223</v>
      </c>
      <c r="C6" s="23" t="s">
        <v>335</v>
      </c>
      <c r="D6" s="23" t="s">
        <v>2</v>
      </c>
      <c r="E6" s="23" t="s">
        <v>340</v>
      </c>
      <c r="F6" s="26">
        <v>272</v>
      </c>
      <c r="G6" s="26">
        <v>716</v>
      </c>
      <c r="H6" s="26">
        <v>185</v>
      </c>
      <c r="I6" s="31">
        <v>1</v>
      </c>
      <c r="J6" s="7">
        <f t="shared" si="0"/>
        <v>629</v>
      </c>
    </row>
    <row r="7" spans="1:10" x14ac:dyDescent="0.2">
      <c r="A7" s="23" t="s">
        <v>341</v>
      </c>
      <c r="B7" s="23" t="s">
        <v>221</v>
      </c>
      <c r="C7" s="23" t="s">
        <v>335</v>
      </c>
      <c r="D7" s="23" t="s">
        <v>2</v>
      </c>
      <c r="E7" s="23" t="s">
        <v>340</v>
      </c>
      <c r="F7" s="26">
        <v>818</v>
      </c>
      <c r="G7" s="26">
        <v>1911</v>
      </c>
      <c r="H7" s="26">
        <v>149</v>
      </c>
      <c r="I7" s="31">
        <v>1</v>
      </c>
      <c r="J7" s="7">
        <f t="shared" si="0"/>
        <v>1242</v>
      </c>
    </row>
    <row r="8" spans="1:10" x14ac:dyDescent="0.2">
      <c r="A8" s="23" t="s">
        <v>342</v>
      </c>
      <c r="B8" s="23" t="s">
        <v>221</v>
      </c>
      <c r="C8" s="23" t="s">
        <v>335</v>
      </c>
      <c r="D8" s="23" t="s">
        <v>2</v>
      </c>
      <c r="E8" s="23" t="s">
        <v>338</v>
      </c>
      <c r="F8" s="26">
        <v>358</v>
      </c>
      <c r="G8" s="26">
        <v>884</v>
      </c>
      <c r="H8" s="26">
        <v>318</v>
      </c>
      <c r="I8" s="31">
        <v>1</v>
      </c>
      <c r="J8" s="7">
        <f t="shared" si="0"/>
        <v>844</v>
      </c>
    </row>
    <row r="9" spans="1:10" x14ac:dyDescent="0.2">
      <c r="A9" s="23" t="s">
        <v>343</v>
      </c>
      <c r="B9" s="23" t="s">
        <v>221</v>
      </c>
      <c r="C9" s="23" t="s">
        <v>335</v>
      </c>
      <c r="D9" s="23" t="s">
        <v>2</v>
      </c>
      <c r="E9" s="23" t="s">
        <v>344</v>
      </c>
      <c r="F9" s="26">
        <v>736</v>
      </c>
      <c r="G9" s="26">
        <v>2486</v>
      </c>
      <c r="H9" s="26">
        <v>240</v>
      </c>
      <c r="I9" s="31">
        <v>1</v>
      </c>
      <c r="J9" s="7">
        <f t="shared" si="0"/>
        <v>1990</v>
      </c>
    </row>
    <row r="10" spans="1:10" x14ac:dyDescent="0.2">
      <c r="A10" s="23" t="s">
        <v>345</v>
      </c>
      <c r="B10" s="23" t="s">
        <v>225</v>
      </c>
      <c r="C10" s="23" t="s">
        <v>335</v>
      </c>
      <c r="D10" s="23" t="s">
        <v>2</v>
      </c>
      <c r="E10" s="23" t="s">
        <v>338</v>
      </c>
      <c r="F10" s="26">
        <v>512</v>
      </c>
      <c r="G10" s="26">
        <v>1615</v>
      </c>
      <c r="H10" s="26">
        <v>76</v>
      </c>
      <c r="I10" s="31">
        <v>1</v>
      </c>
      <c r="J10" s="7">
        <f t="shared" si="0"/>
        <v>1179</v>
      </c>
    </row>
    <row r="11" spans="1:10" x14ac:dyDescent="0.2">
      <c r="A11" s="23" t="s">
        <v>346</v>
      </c>
      <c r="B11" s="23" t="s">
        <v>230</v>
      </c>
      <c r="C11" s="23" t="s">
        <v>335</v>
      </c>
      <c r="D11" s="23" t="s">
        <v>2</v>
      </c>
      <c r="E11" s="23" t="s">
        <v>336</v>
      </c>
      <c r="F11" s="26">
        <v>473</v>
      </c>
      <c r="G11" s="26">
        <v>877</v>
      </c>
      <c r="H11" s="26">
        <v>129</v>
      </c>
      <c r="I11" s="31">
        <v>1</v>
      </c>
      <c r="J11" s="7">
        <f t="shared" si="0"/>
        <v>533</v>
      </c>
    </row>
    <row r="12" spans="1:10" x14ac:dyDescent="0.2">
      <c r="A12" s="23" t="s">
        <v>347</v>
      </c>
      <c r="B12" s="23" t="s">
        <v>230</v>
      </c>
      <c r="C12" s="23" t="s">
        <v>335</v>
      </c>
      <c r="D12" s="23" t="s">
        <v>2</v>
      </c>
      <c r="E12" s="23" t="s">
        <v>338</v>
      </c>
      <c r="F12" s="26">
        <v>666</v>
      </c>
      <c r="G12" s="26">
        <v>1459</v>
      </c>
      <c r="H12" s="26">
        <v>358</v>
      </c>
      <c r="I12" s="31">
        <v>1</v>
      </c>
      <c r="J12" s="7">
        <f t="shared" si="0"/>
        <v>1151</v>
      </c>
    </row>
    <row r="13" spans="1:10" x14ac:dyDescent="0.2">
      <c r="A13" s="23" t="s">
        <v>348</v>
      </c>
      <c r="B13" s="23" t="s">
        <v>230</v>
      </c>
      <c r="C13" s="23" t="s">
        <v>335</v>
      </c>
      <c r="D13" s="23" t="s">
        <v>2</v>
      </c>
      <c r="E13" s="23" t="s">
        <v>344</v>
      </c>
      <c r="F13" s="26">
        <v>427</v>
      </c>
      <c r="G13" s="26">
        <v>1492</v>
      </c>
      <c r="H13" s="26">
        <v>322</v>
      </c>
      <c r="I13" s="31">
        <v>1</v>
      </c>
      <c r="J13" s="7">
        <f t="shared" si="0"/>
        <v>1387</v>
      </c>
    </row>
    <row r="14" spans="1:10" x14ac:dyDescent="0.2">
      <c r="A14" s="23" t="s">
        <v>349</v>
      </c>
      <c r="B14" s="23" t="s">
        <v>99</v>
      </c>
      <c r="C14" s="23" t="s">
        <v>350</v>
      </c>
      <c r="D14" s="23" t="s">
        <v>2</v>
      </c>
      <c r="E14" s="23" t="s">
        <v>351</v>
      </c>
      <c r="F14" s="26">
        <v>371</v>
      </c>
      <c r="G14" s="26">
        <v>1335</v>
      </c>
      <c r="H14" s="26">
        <v>116</v>
      </c>
      <c r="I14" s="31">
        <v>1</v>
      </c>
      <c r="J14" s="7">
        <f t="shared" si="0"/>
        <v>1080</v>
      </c>
    </row>
    <row r="15" spans="1:10" x14ac:dyDescent="0.2">
      <c r="A15" s="23" t="s">
        <v>352</v>
      </c>
      <c r="B15" s="23" t="s">
        <v>101</v>
      </c>
      <c r="C15" s="23" t="s">
        <v>350</v>
      </c>
      <c r="D15" s="23" t="s">
        <v>2</v>
      </c>
      <c r="E15" s="23" t="s">
        <v>344</v>
      </c>
      <c r="F15" s="26">
        <v>426</v>
      </c>
      <c r="G15" s="26">
        <v>1604</v>
      </c>
      <c r="H15" s="26">
        <v>358</v>
      </c>
      <c r="I15" s="31">
        <v>1</v>
      </c>
      <c r="J15" s="7">
        <f t="shared" si="0"/>
        <v>1536</v>
      </c>
    </row>
    <row r="16" spans="1:10" x14ac:dyDescent="0.2">
      <c r="A16" s="23" t="s">
        <v>353</v>
      </c>
      <c r="B16" s="23" t="s">
        <v>101</v>
      </c>
      <c r="C16" s="23" t="s">
        <v>350</v>
      </c>
      <c r="D16" s="23" t="s">
        <v>2</v>
      </c>
      <c r="E16" s="23" t="s">
        <v>338</v>
      </c>
      <c r="F16" s="26">
        <v>348</v>
      </c>
      <c r="G16" s="26">
        <v>1102</v>
      </c>
      <c r="H16" s="26">
        <v>249</v>
      </c>
      <c r="I16" s="31">
        <v>1</v>
      </c>
      <c r="J16" s="7">
        <f t="shared" si="0"/>
        <v>1003</v>
      </c>
    </row>
    <row r="17" spans="1:10" x14ac:dyDescent="0.2">
      <c r="A17" s="23" t="s">
        <v>354</v>
      </c>
      <c r="B17" s="23" t="s">
        <v>101</v>
      </c>
      <c r="C17" s="23" t="s">
        <v>350</v>
      </c>
      <c r="D17" s="23" t="s">
        <v>2</v>
      </c>
      <c r="E17" s="23" t="s">
        <v>344</v>
      </c>
      <c r="F17" s="26">
        <v>435</v>
      </c>
      <c r="G17" s="26">
        <v>1310</v>
      </c>
      <c r="H17" s="26">
        <v>579</v>
      </c>
      <c r="I17" s="31">
        <v>1</v>
      </c>
      <c r="J17" s="7">
        <f t="shared" si="0"/>
        <v>1454</v>
      </c>
    </row>
    <row r="18" spans="1:10" x14ac:dyDescent="0.2">
      <c r="A18" s="23" t="s">
        <v>355</v>
      </c>
      <c r="B18" s="23" t="s">
        <v>103</v>
      </c>
      <c r="C18" s="23" t="s">
        <v>350</v>
      </c>
      <c r="D18" s="23" t="s">
        <v>3</v>
      </c>
      <c r="E18" s="23" t="s">
        <v>340</v>
      </c>
      <c r="F18" s="26">
        <v>535</v>
      </c>
      <c r="G18" s="26">
        <v>1188</v>
      </c>
      <c r="H18" s="26">
        <v>414</v>
      </c>
      <c r="I18" s="31">
        <v>1</v>
      </c>
      <c r="J18" s="7">
        <f t="shared" si="0"/>
        <v>1067</v>
      </c>
    </row>
    <row r="19" spans="1:10" x14ac:dyDescent="0.2">
      <c r="A19" s="23" t="s">
        <v>356</v>
      </c>
      <c r="B19" s="23" t="s">
        <v>106</v>
      </c>
      <c r="C19" s="23" t="s">
        <v>350</v>
      </c>
      <c r="D19" s="23" t="s">
        <v>3</v>
      </c>
      <c r="E19" s="23" t="s">
        <v>357</v>
      </c>
      <c r="F19" s="26">
        <v>503</v>
      </c>
      <c r="G19" s="26">
        <v>1090</v>
      </c>
      <c r="H19" s="26">
        <v>464</v>
      </c>
      <c r="I19" s="31">
        <v>1</v>
      </c>
      <c r="J19" s="7">
        <f t="shared" si="0"/>
        <v>1051</v>
      </c>
    </row>
    <row r="20" spans="1:10" x14ac:dyDescent="0.2">
      <c r="A20" s="23" t="s">
        <v>358</v>
      </c>
      <c r="B20" s="23" t="s">
        <v>106</v>
      </c>
      <c r="C20" s="23" t="s">
        <v>350</v>
      </c>
      <c r="D20" s="23" t="s">
        <v>3</v>
      </c>
      <c r="E20" s="23" t="s">
        <v>351</v>
      </c>
      <c r="F20" s="26">
        <v>205</v>
      </c>
      <c r="G20" s="26">
        <v>640</v>
      </c>
      <c r="H20" s="26">
        <v>294</v>
      </c>
      <c r="I20" s="31">
        <v>1</v>
      </c>
      <c r="J20" s="7">
        <f t="shared" si="0"/>
        <v>729</v>
      </c>
    </row>
    <row r="21" spans="1:10" x14ac:dyDescent="0.2">
      <c r="A21" s="23" t="s">
        <v>359</v>
      </c>
      <c r="B21" s="23" t="s">
        <v>106</v>
      </c>
      <c r="C21" s="23" t="s">
        <v>350</v>
      </c>
      <c r="D21" s="23" t="s">
        <v>3</v>
      </c>
      <c r="E21" s="23" t="s">
        <v>351</v>
      </c>
      <c r="F21" s="26">
        <v>585</v>
      </c>
      <c r="G21" s="26">
        <v>1247</v>
      </c>
      <c r="H21" s="26">
        <v>92</v>
      </c>
      <c r="I21" s="31">
        <v>1</v>
      </c>
      <c r="J21" s="7">
        <f t="shared" si="0"/>
        <v>754</v>
      </c>
    </row>
    <row r="22" spans="1:10" x14ac:dyDescent="0.2">
      <c r="A22" s="23" t="s">
        <v>360</v>
      </c>
      <c r="B22" s="23" t="s">
        <v>106</v>
      </c>
      <c r="C22" s="23" t="s">
        <v>350</v>
      </c>
      <c r="D22" s="23" t="s">
        <v>3</v>
      </c>
      <c r="E22" s="23" t="s">
        <v>336</v>
      </c>
      <c r="F22" s="26">
        <v>429</v>
      </c>
      <c r="G22" s="26">
        <v>1508</v>
      </c>
      <c r="H22" s="26">
        <v>240</v>
      </c>
      <c r="I22" s="31">
        <v>1</v>
      </c>
      <c r="J22" s="7">
        <f t="shared" si="0"/>
        <v>1319</v>
      </c>
    </row>
    <row r="23" spans="1:10" x14ac:dyDescent="0.2">
      <c r="A23" s="23" t="s">
        <v>361</v>
      </c>
      <c r="B23" s="23" t="s">
        <v>106</v>
      </c>
      <c r="C23" s="23" t="s">
        <v>350</v>
      </c>
      <c r="D23" s="23" t="s">
        <v>3</v>
      </c>
      <c r="E23" s="23" t="s">
        <v>344</v>
      </c>
      <c r="F23" s="26">
        <v>396</v>
      </c>
      <c r="G23" s="26">
        <v>1258</v>
      </c>
      <c r="H23" s="26">
        <v>455</v>
      </c>
      <c r="I23" s="31">
        <v>1</v>
      </c>
      <c r="J23" s="7">
        <f t="shared" si="0"/>
        <v>1317</v>
      </c>
    </row>
    <row r="24" spans="1:10" x14ac:dyDescent="0.2">
      <c r="A24" s="23" t="s">
        <v>362</v>
      </c>
      <c r="B24" s="23" t="s">
        <v>236</v>
      </c>
      <c r="C24" s="23" t="s">
        <v>335</v>
      </c>
      <c r="D24" s="23" t="s">
        <v>3</v>
      </c>
      <c r="E24" s="23" t="s">
        <v>338</v>
      </c>
      <c r="F24" s="26">
        <v>912</v>
      </c>
      <c r="G24" s="26">
        <v>1826</v>
      </c>
      <c r="H24" s="26">
        <v>255</v>
      </c>
      <c r="I24" s="31">
        <v>1</v>
      </c>
      <c r="J24" s="7">
        <f t="shared" si="0"/>
        <v>1169</v>
      </c>
    </row>
    <row r="25" spans="1:10" x14ac:dyDescent="0.2">
      <c r="A25" s="23" t="s">
        <v>363</v>
      </c>
      <c r="B25" s="23" t="s">
        <v>236</v>
      </c>
      <c r="C25" s="23" t="s">
        <v>335</v>
      </c>
      <c r="D25" s="23" t="s">
        <v>3</v>
      </c>
      <c r="E25" s="23" t="s">
        <v>338</v>
      </c>
      <c r="F25" s="26">
        <v>375</v>
      </c>
      <c r="G25" s="26">
        <v>788</v>
      </c>
      <c r="H25" s="26">
        <v>115</v>
      </c>
      <c r="I25" s="31">
        <v>1</v>
      </c>
      <c r="J25" s="7">
        <f t="shared" si="0"/>
        <v>528</v>
      </c>
    </row>
    <row r="26" spans="1:10" x14ac:dyDescent="0.2">
      <c r="A26" s="23" t="s">
        <v>364</v>
      </c>
      <c r="B26" s="23" t="s">
        <v>240</v>
      </c>
      <c r="C26" s="23" t="s">
        <v>335</v>
      </c>
      <c r="D26" s="23" t="s">
        <v>3</v>
      </c>
      <c r="E26" s="23" t="s">
        <v>338</v>
      </c>
      <c r="F26" s="26">
        <v>588</v>
      </c>
      <c r="G26" s="26">
        <v>2183</v>
      </c>
      <c r="H26" s="26">
        <v>251</v>
      </c>
      <c r="I26" s="31">
        <v>1</v>
      </c>
      <c r="J26" s="7">
        <f t="shared" si="0"/>
        <v>1846</v>
      </c>
    </row>
    <row r="27" spans="1:10" x14ac:dyDescent="0.2">
      <c r="A27" s="23" t="s">
        <v>365</v>
      </c>
      <c r="B27" s="23" t="s">
        <v>240</v>
      </c>
      <c r="C27" s="23" t="s">
        <v>335</v>
      </c>
      <c r="D27" s="23" t="s">
        <v>3</v>
      </c>
      <c r="E27" s="23" t="s">
        <v>340</v>
      </c>
      <c r="F27" s="26">
        <v>386</v>
      </c>
      <c r="G27" s="26">
        <v>999</v>
      </c>
      <c r="H27" s="26">
        <v>74</v>
      </c>
      <c r="I27" s="31">
        <v>1</v>
      </c>
      <c r="J27" s="7">
        <f t="shared" si="0"/>
        <v>687</v>
      </c>
    </row>
    <row r="28" spans="1:10" x14ac:dyDescent="0.2">
      <c r="A28" s="23" t="s">
        <v>366</v>
      </c>
      <c r="B28" s="23" t="s">
        <v>242</v>
      </c>
      <c r="C28" s="23" t="s">
        <v>335</v>
      </c>
      <c r="D28" s="23" t="s">
        <v>4</v>
      </c>
      <c r="E28" s="23" t="s">
        <v>357</v>
      </c>
      <c r="F28" s="26">
        <v>581</v>
      </c>
      <c r="G28" s="26">
        <v>1414</v>
      </c>
      <c r="H28" s="26">
        <v>176</v>
      </c>
      <c r="I28" s="31">
        <v>1</v>
      </c>
      <c r="J28" s="7">
        <f t="shared" si="0"/>
        <v>1009</v>
      </c>
    </row>
    <row r="29" spans="1:10" x14ac:dyDescent="0.2">
      <c r="A29" s="23" t="s">
        <v>367</v>
      </c>
      <c r="B29" s="23" t="s">
        <v>115</v>
      </c>
      <c r="C29" s="23" t="s">
        <v>350</v>
      </c>
      <c r="D29" s="23" t="s">
        <v>4</v>
      </c>
      <c r="E29" s="23" t="s">
        <v>336</v>
      </c>
      <c r="F29" s="26">
        <v>1013</v>
      </c>
      <c r="G29" s="26">
        <v>2082</v>
      </c>
      <c r="H29" s="26">
        <v>424</v>
      </c>
      <c r="I29" s="31">
        <v>1</v>
      </c>
      <c r="J29" s="7">
        <f t="shared" si="0"/>
        <v>1493</v>
      </c>
    </row>
    <row r="30" spans="1:10" x14ac:dyDescent="0.2">
      <c r="A30" s="23" t="s">
        <v>368</v>
      </c>
      <c r="B30" s="23" t="s">
        <v>117</v>
      </c>
      <c r="C30" s="23" t="s">
        <v>350</v>
      </c>
      <c r="D30" s="23" t="s">
        <v>4</v>
      </c>
      <c r="E30" s="23" t="s">
        <v>351</v>
      </c>
      <c r="F30" s="26">
        <v>955</v>
      </c>
      <c r="G30" s="26">
        <v>1914</v>
      </c>
      <c r="H30" s="26">
        <v>248</v>
      </c>
      <c r="I30" s="31">
        <v>1</v>
      </c>
      <c r="J30" s="7">
        <f t="shared" si="0"/>
        <v>1207</v>
      </c>
    </row>
    <row r="31" spans="1:10" x14ac:dyDescent="0.2">
      <c r="A31" s="23" t="s">
        <v>369</v>
      </c>
      <c r="B31" s="23" t="s">
        <v>117</v>
      </c>
      <c r="C31" s="23" t="s">
        <v>350</v>
      </c>
      <c r="D31" s="23" t="s">
        <v>4</v>
      </c>
      <c r="E31" s="23" t="s">
        <v>351</v>
      </c>
      <c r="F31" s="26">
        <v>815</v>
      </c>
      <c r="G31" s="26">
        <v>1789</v>
      </c>
      <c r="H31" s="26">
        <v>155</v>
      </c>
      <c r="I31" s="31">
        <v>1</v>
      </c>
      <c r="J31" s="7">
        <f t="shared" si="0"/>
        <v>1129</v>
      </c>
    </row>
    <row r="32" spans="1:10" x14ac:dyDescent="0.2">
      <c r="A32" s="23" t="s">
        <v>370</v>
      </c>
      <c r="B32" s="23" t="s">
        <v>117</v>
      </c>
      <c r="C32" s="23" t="s">
        <v>350</v>
      </c>
      <c r="D32" s="23" t="s">
        <v>4</v>
      </c>
      <c r="E32" s="23" t="s">
        <v>344</v>
      </c>
      <c r="F32" s="26">
        <v>515</v>
      </c>
      <c r="G32" s="26">
        <v>978</v>
      </c>
      <c r="H32" s="26">
        <v>202</v>
      </c>
      <c r="I32" s="31">
        <v>1</v>
      </c>
      <c r="J32" s="7">
        <f t="shared" si="0"/>
        <v>665</v>
      </c>
    </row>
    <row r="33" spans="1:10" x14ac:dyDescent="0.2">
      <c r="A33" s="23" t="s">
        <v>371</v>
      </c>
      <c r="B33" s="23" t="s">
        <v>119</v>
      </c>
      <c r="C33" s="23" t="s">
        <v>350</v>
      </c>
      <c r="D33" s="23" t="s">
        <v>5</v>
      </c>
      <c r="E33" s="23" t="s">
        <v>351</v>
      </c>
      <c r="F33" s="26">
        <v>300</v>
      </c>
      <c r="G33" s="26">
        <v>581</v>
      </c>
      <c r="H33" s="26">
        <v>330</v>
      </c>
      <c r="I33" s="31">
        <v>1</v>
      </c>
      <c r="J33" s="7">
        <f t="shared" si="0"/>
        <v>611</v>
      </c>
    </row>
    <row r="34" spans="1:10" x14ac:dyDescent="0.2">
      <c r="A34" s="23" t="s">
        <v>372</v>
      </c>
      <c r="B34" s="23" t="s">
        <v>246</v>
      </c>
      <c r="C34" s="23" t="s">
        <v>335</v>
      </c>
      <c r="D34" s="23" t="s">
        <v>5</v>
      </c>
      <c r="E34" s="23" t="s">
        <v>336</v>
      </c>
      <c r="F34" s="26">
        <v>658</v>
      </c>
      <c r="G34" s="26">
        <v>2200</v>
      </c>
      <c r="H34" s="26">
        <v>246</v>
      </c>
      <c r="I34" s="31">
        <v>1</v>
      </c>
      <c r="J34" s="7">
        <f t="shared" si="0"/>
        <v>1788</v>
      </c>
    </row>
    <row r="35" spans="1:10" x14ac:dyDescent="0.2">
      <c r="A35" s="23" t="s">
        <v>373</v>
      </c>
      <c r="B35" s="23" t="s">
        <v>248</v>
      </c>
      <c r="C35" s="23" t="s">
        <v>335</v>
      </c>
      <c r="D35" s="23" t="s">
        <v>5</v>
      </c>
      <c r="E35" s="23" t="s">
        <v>338</v>
      </c>
      <c r="F35" s="26">
        <v>942</v>
      </c>
      <c r="G35" s="26">
        <v>1846</v>
      </c>
      <c r="H35" s="26">
        <v>236</v>
      </c>
      <c r="I35" s="31">
        <v>1</v>
      </c>
      <c r="J35" s="7">
        <f t="shared" si="0"/>
        <v>1140</v>
      </c>
    </row>
    <row r="36" spans="1:10" x14ac:dyDescent="0.2">
      <c r="A36" s="23" t="s">
        <v>374</v>
      </c>
      <c r="B36" s="23" t="s">
        <v>252</v>
      </c>
      <c r="C36" s="23" t="s">
        <v>335</v>
      </c>
      <c r="D36" s="23" t="s">
        <v>5</v>
      </c>
      <c r="E36" s="23" t="s">
        <v>336</v>
      </c>
      <c r="F36" s="26">
        <v>752</v>
      </c>
      <c r="G36" s="26">
        <v>1371</v>
      </c>
      <c r="H36" s="26">
        <v>281</v>
      </c>
      <c r="I36" s="31">
        <v>1</v>
      </c>
      <c r="J36" s="7">
        <f t="shared" ref="J36:J67" si="1">G36-F36+H36</f>
        <v>900</v>
      </c>
    </row>
    <row r="37" spans="1:10" x14ac:dyDescent="0.2">
      <c r="A37" s="23" t="s">
        <v>375</v>
      </c>
      <c r="B37" s="23" t="s">
        <v>121</v>
      </c>
      <c r="C37" s="23" t="s">
        <v>350</v>
      </c>
      <c r="D37" s="23" t="s">
        <v>5</v>
      </c>
      <c r="E37" s="23" t="s">
        <v>340</v>
      </c>
      <c r="F37" s="26">
        <v>451</v>
      </c>
      <c r="G37" s="26">
        <v>1212</v>
      </c>
      <c r="H37" s="26">
        <v>328</v>
      </c>
      <c r="I37" s="31">
        <v>1</v>
      </c>
      <c r="J37" s="7">
        <f t="shared" si="1"/>
        <v>1089</v>
      </c>
    </row>
    <row r="38" spans="1:10" x14ac:dyDescent="0.2">
      <c r="A38" s="23" t="s">
        <v>376</v>
      </c>
      <c r="B38" s="23" t="s">
        <v>125</v>
      </c>
      <c r="C38" s="23" t="s">
        <v>350</v>
      </c>
      <c r="D38" s="23" t="s">
        <v>5</v>
      </c>
      <c r="E38" s="23" t="s">
        <v>351</v>
      </c>
      <c r="F38" s="26">
        <v>291</v>
      </c>
      <c r="G38" s="26">
        <v>552</v>
      </c>
      <c r="H38" s="26">
        <v>589</v>
      </c>
      <c r="I38" s="31">
        <v>1</v>
      </c>
      <c r="J38" s="7">
        <f t="shared" si="1"/>
        <v>850</v>
      </c>
    </row>
    <row r="39" spans="1:10" x14ac:dyDescent="0.2">
      <c r="A39" s="23" t="s">
        <v>377</v>
      </c>
      <c r="B39" s="23" t="s">
        <v>125</v>
      </c>
      <c r="C39" s="23" t="s">
        <v>350</v>
      </c>
      <c r="D39" s="23" t="s">
        <v>5</v>
      </c>
      <c r="E39" s="23" t="s">
        <v>344</v>
      </c>
      <c r="F39" s="26">
        <v>708</v>
      </c>
      <c r="G39" s="26">
        <v>2082</v>
      </c>
      <c r="H39" s="26">
        <v>123</v>
      </c>
      <c r="I39" s="31">
        <v>1</v>
      </c>
      <c r="J39" s="7">
        <f t="shared" si="1"/>
        <v>1497</v>
      </c>
    </row>
    <row r="40" spans="1:10" x14ac:dyDescent="0.2">
      <c r="A40" s="23" t="s">
        <v>378</v>
      </c>
      <c r="B40" s="23" t="s">
        <v>125</v>
      </c>
      <c r="C40" s="23" t="s">
        <v>350</v>
      </c>
      <c r="D40" s="23" t="s">
        <v>5</v>
      </c>
      <c r="E40" s="23" t="s">
        <v>338</v>
      </c>
      <c r="F40" s="26">
        <v>561</v>
      </c>
      <c r="G40" s="26">
        <v>1675</v>
      </c>
      <c r="H40" s="26">
        <v>490</v>
      </c>
      <c r="I40" s="31">
        <v>1</v>
      </c>
      <c r="J40" s="7">
        <f t="shared" si="1"/>
        <v>1604</v>
      </c>
    </row>
    <row r="41" spans="1:10" x14ac:dyDescent="0.2">
      <c r="A41" s="23" t="s">
        <v>379</v>
      </c>
      <c r="B41" s="23" t="s">
        <v>123</v>
      </c>
      <c r="C41" s="23" t="s">
        <v>350</v>
      </c>
      <c r="D41" s="23" t="s">
        <v>5</v>
      </c>
      <c r="E41" s="23" t="s">
        <v>351</v>
      </c>
      <c r="F41" s="26">
        <v>915</v>
      </c>
      <c r="G41" s="26">
        <v>2364</v>
      </c>
      <c r="H41" s="26">
        <v>147</v>
      </c>
      <c r="I41" s="31">
        <v>1</v>
      </c>
      <c r="J41" s="7">
        <f t="shared" si="1"/>
        <v>1596</v>
      </c>
    </row>
    <row r="42" spans="1:10" x14ac:dyDescent="0.2">
      <c r="A42" s="23" t="s">
        <v>380</v>
      </c>
      <c r="B42" s="23" t="s">
        <v>123</v>
      </c>
      <c r="C42" s="23" t="s">
        <v>350</v>
      </c>
      <c r="D42" s="23" t="s">
        <v>5</v>
      </c>
      <c r="E42" s="23" t="s">
        <v>344</v>
      </c>
      <c r="F42" s="26">
        <v>477</v>
      </c>
      <c r="G42" s="26">
        <v>1823</v>
      </c>
      <c r="H42" s="26">
        <v>451</v>
      </c>
      <c r="I42" s="31">
        <v>1</v>
      </c>
      <c r="J42" s="7">
        <f t="shared" si="1"/>
        <v>1797</v>
      </c>
    </row>
    <row r="43" spans="1:10" x14ac:dyDescent="0.2">
      <c r="A43" s="23" t="s">
        <v>381</v>
      </c>
      <c r="B43" s="23" t="s">
        <v>123</v>
      </c>
      <c r="C43" s="23" t="s">
        <v>350</v>
      </c>
      <c r="D43" s="23" t="s">
        <v>5</v>
      </c>
      <c r="E43" s="23" t="s">
        <v>340</v>
      </c>
      <c r="F43" s="26">
        <v>655</v>
      </c>
      <c r="G43" s="26">
        <v>1760</v>
      </c>
      <c r="H43" s="26">
        <v>286</v>
      </c>
      <c r="I43" s="31">
        <v>1</v>
      </c>
      <c r="J43" s="7">
        <f t="shared" si="1"/>
        <v>1391</v>
      </c>
    </row>
    <row r="44" spans="1:10" x14ac:dyDescent="0.2">
      <c r="A44" s="23" t="s">
        <v>382</v>
      </c>
      <c r="B44" s="23" t="s">
        <v>254</v>
      </c>
      <c r="C44" s="23" t="s">
        <v>335</v>
      </c>
      <c r="D44" s="23" t="s">
        <v>5</v>
      </c>
      <c r="E44" s="23" t="s">
        <v>344</v>
      </c>
      <c r="F44" s="26">
        <v>829</v>
      </c>
      <c r="G44" s="26">
        <v>2004</v>
      </c>
      <c r="H44" s="26">
        <v>308</v>
      </c>
      <c r="I44" s="31">
        <v>1</v>
      </c>
      <c r="J44" s="7">
        <f t="shared" si="1"/>
        <v>1483</v>
      </c>
    </row>
    <row r="45" spans="1:10" x14ac:dyDescent="0.2">
      <c r="A45" s="23" t="s">
        <v>383</v>
      </c>
      <c r="B45" s="23" t="s">
        <v>254</v>
      </c>
      <c r="C45" s="23" t="s">
        <v>335</v>
      </c>
      <c r="D45" s="23" t="s">
        <v>5</v>
      </c>
      <c r="E45" s="23" t="s">
        <v>340</v>
      </c>
      <c r="F45" s="26">
        <v>552</v>
      </c>
      <c r="G45" s="26">
        <v>1452</v>
      </c>
      <c r="H45" s="26">
        <v>374</v>
      </c>
      <c r="I45" s="31">
        <v>1</v>
      </c>
      <c r="J45" s="7">
        <f t="shared" si="1"/>
        <v>1274</v>
      </c>
    </row>
    <row r="46" spans="1:10" x14ac:dyDescent="0.2">
      <c r="A46" s="23" t="s">
        <v>384</v>
      </c>
      <c r="B46" s="23" t="s">
        <v>254</v>
      </c>
      <c r="C46" s="23" t="s">
        <v>335</v>
      </c>
      <c r="D46" s="23" t="s">
        <v>5</v>
      </c>
      <c r="E46" s="23" t="s">
        <v>338</v>
      </c>
      <c r="F46" s="26">
        <v>515</v>
      </c>
      <c r="G46" s="26">
        <v>1431</v>
      </c>
      <c r="H46" s="26">
        <v>383</v>
      </c>
      <c r="I46" s="31">
        <v>1</v>
      </c>
      <c r="J46" s="7">
        <f t="shared" si="1"/>
        <v>1299</v>
      </c>
    </row>
    <row r="47" spans="1:10" x14ac:dyDescent="0.2">
      <c r="A47" s="23" t="s">
        <v>385</v>
      </c>
      <c r="B47" s="23" t="s">
        <v>254</v>
      </c>
      <c r="C47" s="23" t="s">
        <v>335</v>
      </c>
      <c r="D47" s="23" t="s">
        <v>5</v>
      </c>
      <c r="E47" s="23" t="s">
        <v>357</v>
      </c>
      <c r="F47" s="26">
        <v>499</v>
      </c>
      <c r="G47" s="26">
        <v>1295</v>
      </c>
      <c r="H47" s="26">
        <v>343</v>
      </c>
      <c r="I47" s="31">
        <v>1</v>
      </c>
      <c r="J47" s="7">
        <f t="shared" si="1"/>
        <v>1139</v>
      </c>
    </row>
    <row r="48" spans="1:10" x14ac:dyDescent="0.2">
      <c r="A48" s="23" t="s">
        <v>386</v>
      </c>
      <c r="B48" s="23" t="s">
        <v>256</v>
      </c>
      <c r="C48" s="23" t="s">
        <v>335</v>
      </c>
      <c r="D48" s="23" t="s">
        <v>5</v>
      </c>
      <c r="E48" s="23" t="s">
        <v>344</v>
      </c>
      <c r="F48" s="26">
        <v>330</v>
      </c>
      <c r="G48" s="26">
        <v>1234</v>
      </c>
      <c r="H48" s="26">
        <v>141</v>
      </c>
      <c r="I48" s="31">
        <v>1</v>
      </c>
      <c r="J48" s="7">
        <f t="shared" si="1"/>
        <v>1045</v>
      </c>
    </row>
    <row r="49" spans="1:10" x14ac:dyDescent="0.2">
      <c r="A49" s="23" t="s">
        <v>387</v>
      </c>
      <c r="B49" s="23" t="s">
        <v>260</v>
      </c>
      <c r="C49" s="23" t="s">
        <v>335</v>
      </c>
      <c r="D49" s="23" t="s">
        <v>5</v>
      </c>
      <c r="E49" s="23" t="s">
        <v>338</v>
      </c>
      <c r="F49" s="26">
        <v>832</v>
      </c>
      <c r="G49" s="26">
        <v>1558</v>
      </c>
      <c r="H49" s="26">
        <v>43</v>
      </c>
      <c r="I49" s="31">
        <v>1</v>
      </c>
      <c r="J49" s="7">
        <f t="shared" si="1"/>
        <v>769</v>
      </c>
    </row>
    <row r="50" spans="1:10" x14ac:dyDescent="0.2">
      <c r="A50" s="23" t="s">
        <v>388</v>
      </c>
      <c r="B50" s="23" t="s">
        <v>127</v>
      </c>
      <c r="C50" s="23" t="s">
        <v>350</v>
      </c>
      <c r="D50" s="23" t="s">
        <v>5</v>
      </c>
      <c r="E50" s="23" t="s">
        <v>351</v>
      </c>
      <c r="F50" s="26">
        <v>769</v>
      </c>
      <c r="G50" s="26">
        <v>2441</v>
      </c>
      <c r="H50" s="26">
        <v>262</v>
      </c>
      <c r="I50" s="31">
        <v>1</v>
      </c>
      <c r="J50" s="7">
        <f t="shared" si="1"/>
        <v>1934</v>
      </c>
    </row>
    <row r="51" spans="1:10" x14ac:dyDescent="0.2">
      <c r="A51" s="23" t="s">
        <v>389</v>
      </c>
      <c r="B51" s="23" t="s">
        <v>262</v>
      </c>
      <c r="C51" s="23" t="s">
        <v>335</v>
      </c>
      <c r="D51" s="23" t="s">
        <v>6</v>
      </c>
      <c r="E51" s="23" t="s">
        <v>344</v>
      </c>
      <c r="F51" s="26">
        <v>152</v>
      </c>
      <c r="G51" s="26">
        <v>555</v>
      </c>
      <c r="H51" s="26">
        <v>219</v>
      </c>
      <c r="I51" s="31">
        <v>1</v>
      </c>
      <c r="J51" s="7">
        <f t="shared" si="1"/>
        <v>622</v>
      </c>
    </row>
    <row r="52" spans="1:10" x14ac:dyDescent="0.2">
      <c r="A52" s="23" t="s">
        <v>390</v>
      </c>
      <c r="B52" s="23" t="s">
        <v>262</v>
      </c>
      <c r="C52" s="23" t="s">
        <v>335</v>
      </c>
      <c r="D52" s="23" t="s">
        <v>6</v>
      </c>
      <c r="E52" s="23" t="s">
        <v>338</v>
      </c>
      <c r="F52" s="26">
        <v>496</v>
      </c>
      <c r="G52" s="26">
        <v>1211</v>
      </c>
      <c r="H52" s="26">
        <v>338</v>
      </c>
      <c r="I52" s="31">
        <v>1</v>
      </c>
      <c r="J52" s="7">
        <f t="shared" si="1"/>
        <v>1053</v>
      </c>
    </row>
    <row r="53" spans="1:10" x14ac:dyDescent="0.2">
      <c r="A53" s="23" t="s">
        <v>391</v>
      </c>
      <c r="B53" s="23" t="s">
        <v>264</v>
      </c>
      <c r="C53" s="23" t="s">
        <v>335</v>
      </c>
      <c r="D53" s="23" t="s">
        <v>6</v>
      </c>
      <c r="E53" s="23" t="s">
        <v>340</v>
      </c>
      <c r="F53" s="26">
        <v>371</v>
      </c>
      <c r="G53" s="26">
        <v>1476</v>
      </c>
      <c r="H53" s="26">
        <v>180</v>
      </c>
      <c r="I53" s="31">
        <v>1</v>
      </c>
      <c r="J53" s="7">
        <f t="shared" si="1"/>
        <v>1285</v>
      </c>
    </row>
    <row r="54" spans="1:10" x14ac:dyDescent="0.2">
      <c r="A54" s="23" t="s">
        <v>392</v>
      </c>
      <c r="B54" s="23" t="s">
        <v>264</v>
      </c>
      <c r="C54" s="23" t="s">
        <v>335</v>
      </c>
      <c r="D54" s="23" t="s">
        <v>6</v>
      </c>
      <c r="E54" s="23" t="s">
        <v>351</v>
      </c>
      <c r="F54" s="26">
        <v>626</v>
      </c>
      <c r="G54" s="26">
        <v>2447</v>
      </c>
      <c r="H54" s="26">
        <v>391</v>
      </c>
      <c r="I54" s="31">
        <v>1</v>
      </c>
      <c r="J54" s="7">
        <f t="shared" si="1"/>
        <v>2212</v>
      </c>
    </row>
    <row r="55" spans="1:10" x14ac:dyDescent="0.2">
      <c r="A55" s="23" t="s">
        <v>393</v>
      </c>
      <c r="B55" s="23" t="s">
        <v>268</v>
      </c>
      <c r="C55" s="23" t="s">
        <v>335</v>
      </c>
      <c r="D55" s="23" t="s">
        <v>6</v>
      </c>
      <c r="E55" s="23" t="s">
        <v>336</v>
      </c>
      <c r="F55" s="26">
        <v>586</v>
      </c>
      <c r="G55" s="26">
        <v>1160</v>
      </c>
      <c r="H55" s="26">
        <v>44</v>
      </c>
      <c r="I55" s="31">
        <v>1</v>
      </c>
      <c r="J55" s="7">
        <f t="shared" si="1"/>
        <v>618</v>
      </c>
    </row>
    <row r="56" spans="1:10" x14ac:dyDescent="0.2">
      <c r="A56" s="23" t="s">
        <v>394</v>
      </c>
      <c r="B56" s="23" t="s">
        <v>268</v>
      </c>
      <c r="C56" s="23" t="s">
        <v>335</v>
      </c>
      <c r="D56" s="23" t="s">
        <v>6</v>
      </c>
      <c r="E56" s="23" t="s">
        <v>336</v>
      </c>
      <c r="F56" s="26">
        <v>638</v>
      </c>
      <c r="G56" s="26">
        <v>2281</v>
      </c>
      <c r="H56" s="26">
        <v>225</v>
      </c>
      <c r="I56" s="31">
        <v>1</v>
      </c>
      <c r="J56" s="7">
        <f t="shared" si="1"/>
        <v>1868</v>
      </c>
    </row>
    <row r="57" spans="1:10" x14ac:dyDescent="0.2">
      <c r="A57" s="23" t="s">
        <v>395</v>
      </c>
      <c r="B57" s="23" t="s">
        <v>270</v>
      </c>
      <c r="C57" s="23" t="s">
        <v>335</v>
      </c>
      <c r="D57" s="23" t="s">
        <v>6</v>
      </c>
      <c r="E57" s="23" t="s">
        <v>336</v>
      </c>
      <c r="F57" s="26">
        <v>352</v>
      </c>
      <c r="G57" s="26">
        <v>705</v>
      </c>
      <c r="H57" s="26">
        <v>151</v>
      </c>
      <c r="I57" s="31">
        <v>1</v>
      </c>
      <c r="J57" s="7">
        <f t="shared" si="1"/>
        <v>504</v>
      </c>
    </row>
    <row r="58" spans="1:10" x14ac:dyDescent="0.2">
      <c r="A58" s="23" t="s">
        <v>396</v>
      </c>
      <c r="B58" s="23" t="s">
        <v>270</v>
      </c>
      <c r="C58" s="23" t="s">
        <v>335</v>
      </c>
      <c r="D58" s="23" t="s">
        <v>6</v>
      </c>
      <c r="E58" s="23" t="s">
        <v>344</v>
      </c>
      <c r="F58" s="26">
        <v>920</v>
      </c>
      <c r="G58" s="26">
        <v>2188</v>
      </c>
      <c r="H58" s="26">
        <v>147</v>
      </c>
      <c r="I58" s="31">
        <v>1</v>
      </c>
      <c r="J58" s="7">
        <f t="shared" si="1"/>
        <v>1415</v>
      </c>
    </row>
    <row r="59" spans="1:10" x14ac:dyDescent="0.2">
      <c r="A59" s="23" t="s">
        <v>397</v>
      </c>
      <c r="B59" s="23" t="s">
        <v>129</v>
      </c>
      <c r="C59" s="23" t="s">
        <v>350</v>
      </c>
      <c r="D59" s="23" t="s">
        <v>6</v>
      </c>
      <c r="E59" s="23" t="s">
        <v>344</v>
      </c>
      <c r="F59" s="26">
        <v>854</v>
      </c>
      <c r="G59" s="26">
        <v>1597</v>
      </c>
      <c r="H59" s="26">
        <v>189</v>
      </c>
      <c r="I59" s="31">
        <v>1</v>
      </c>
      <c r="J59" s="7">
        <f t="shared" si="1"/>
        <v>932</v>
      </c>
    </row>
    <row r="60" spans="1:10" x14ac:dyDescent="0.2">
      <c r="A60" s="23" t="s">
        <v>398</v>
      </c>
      <c r="B60" s="23" t="s">
        <v>129</v>
      </c>
      <c r="C60" s="23" t="s">
        <v>350</v>
      </c>
      <c r="D60" s="23" t="s">
        <v>6</v>
      </c>
      <c r="E60" s="23" t="s">
        <v>351</v>
      </c>
      <c r="F60" s="26">
        <v>774</v>
      </c>
      <c r="G60" s="26">
        <v>2065</v>
      </c>
      <c r="H60" s="26">
        <v>231</v>
      </c>
      <c r="I60" s="31">
        <v>1</v>
      </c>
      <c r="J60" s="7">
        <f t="shared" si="1"/>
        <v>1522</v>
      </c>
    </row>
    <row r="61" spans="1:10" x14ac:dyDescent="0.2">
      <c r="A61" s="23" t="s">
        <v>399</v>
      </c>
      <c r="B61" s="23" t="s">
        <v>131</v>
      </c>
      <c r="C61" s="23" t="s">
        <v>350</v>
      </c>
      <c r="D61" s="23" t="s">
        <v>6</v>
      </c>
      <c r="E61" s="23" t="s">
        <v>336</v>
      </c>
      <c r="F61" s="26">
        <v>321</v>
      </c>
      <c r="G61" s="26">
        <v>593</v>
      </c>
      <c r="H61" s="26">
        <v>566</v>
      </c>
      <c r="I61" s="31">
        <v>1</v>
      </c>
      <c r="J61" s="7">
        <f t="shared" si="1"/>
        <v>838</v>
      </c>
    </row>
    <row r="62" spans="1:10" x14ac:dyDescent="0.2">
      <c r="A62" s="23" t="s">
        <v>400</v>
      </c>
      <c r="B62" s="23" t="s">
        <v>131</v>
      </c>
      <c r="C62" s="23" t="s">
        <v>350</v>
      </c>
      <c r="D62" s="23" t="s">
        <v>6</v>
      </c>
      <c r="E62" s="23" t="s">
        <v>351</v>
      </c>
      <c r="F62" s="26">
        <v>1242</v>
      </c>
      <c r="G62" s="26">
        <v>2294</v>
      </c>
      <c r="H62" s="26">
        <v>543</v>
      </c>
      <c r="I62" s="31">
        <v>1</v>
      </c>
      <c r="J62" s="7">
        <f t="shared" si="1"/>
        <v>1595</v>
      </c>
    </row>
    <row r="63" spans="1:10" x14ac:dyDescent="0.2">
      <c r="A63" s="23" t="s">
        <v>401</v>
      </c>
      <c r="B63" s="23" t="s">
        <v>133</v>
      </c>
      <c r="C63" s="23" t="s">
        <v>350</v>
      </c>
      <c r="D63" s="23" t="s">
        <v>6</v>
      </c>
      <c r="E63" s="23" t="s">
        <v>340</v>
      </c>
      <c r="F63" s="26">
        <v>231</v>
      </c>
      <c r="G63" s="26">
        <v>872</v>
      </c>
      <c r="H63" s="26">
        <v>388</v>
      </c>
      <c r="I63" s="31">
        <v>1</v>
      </c>
      <c r="J63" s="7">
        <f t="shared" si="1"/>
        <v>1029</v>
      </c>
    </row>
    <row r="64" spans="1:10" x14ac:dyDescent="0.2">
      <c r="A64" s="23" t="s">
        <v>402</v>
      </c>
      <c r="B64" s="23" t="s">
        <v>135</v>
      </c>
      <c r="C64" s="23" t="s">
        <v>350</v>
      </c>
      <c r="D64" s="23" t="s">
        <v>7</v>
      </c>
      <c r="E64" s="23" t="s">
        <v>357</v>
      </c>
      <c r="F64" s="26">
        <v>592</v>
      </c>
      <c r="G64" s="26">
        <v>1587</v>
      </c>
      <c r="H64" s="26">
        <v>184</v>
      </c>
      <c r="I64" s="31">
        <v>1</v>
      </c>
      <c r="J64" s="7">
        <f t="shared" si="1"/>
        <v>1179</v>
      </c>
    </row>
    <row r="65" spans="1:10" x14ac:dyDescent="0.2">
      <c r="A65" s="23" t="s">
        <v>403</v>
      </c>
      <c r="B65" s="23" t="s">
        <v>135</v>
      </c>
      <c r="C65" s="23" t="s">
        <v>350</v>
      </c>
      <c r="D65" s="23" t="s">
        <v>7</v>
      </c>
      <c r="E65" s="23" t="s">
        <v>357</v>
      </c>
      <c r="F65" s="26">
        <v>637</v>
      </c>
      <c r="G65" s="26">
        <v>1444</v>
      </c>
      <c r="H65" s="26">
        <v>470</v>
      </c>
      <c r="I65" s="31">
        <v>1</v>
      </c>
      <c r="J65" s="7">
        <f t="shared" si="1"/>
        <v>1277</v>
      </c>
    </row>
    <row r="66" spans="1:10" x14ac:dyDescent="0.2">
      <c r="A66" s="23" t="s">
        <v>404</v>
      </c>
      <c r="B66" s="23" t="s">
        <v>137</v>
      </c>
      <c r="C66" s="23" t="s">
        <v>350</v>
      </c>
      <c r="D66" s="23" t="s">
        <v>7</v>
      </c>
      <c r="E66" s="23" t="s">
        <v>351</v>
      </c>
      <c r="F66" s="26">
        <v>833</v>
      </c>
      <c r="G66" s="26">
        <v>2443</v>
      </c>
      <c r="H66" s="26">
        <v>254</v>
      </c>
      <c r="I66" s="31">
        <v>1</v>
      </c>
      <c r="J66" s="7">
        <f t="shared" si="1"/>
        <v>1864</v>
      </c>
    </row>
    <row r="67" spans="1:10" x14ac:dyDescent="0.2">
      <c r="A67" s="23" t="s">
        <v>405</v>
      </c>
      <c r="B67" s="23" t="s">
        <v>137</v>
      </c>
      <c r="C67" s="23" t="s">
        <v>350</v>
      </c>
      <c r="D67" s="23" t="s">
        <v>7</v>
      </c>
      <c r="E67" s="23" t="s">
        <v>340</v>
      </c>
      <c r="F67" s="26">
        <v>646</v>
      </c>
      <c r="G67" s="26">
        <v>2475</v>
      </c>
      <c r="H67" s="26">
        <v>514</v>
      </c>
      <c r="I67" s="31">
        <v>1</v>
      </c>
      <c r="J67" s="7">
        <f t="shared" si="1"/>
        <v>2343</v>
      </c>
    </row>
    <row r="68" spans="1:10" x14ac:dyDescent="0.2">
      <c r="A68" s="23" t="s">
        <v>406</v>
      </c>
      <c r="B68" s="23" t="s">
        <v>141</v>
      </c>
      <c r="C68" s="23" t="s">
        <v>350</v>
      </c>
      <c r="D68" s="23" t="s">
        <v>7</v>
      </c>
      <c r="E68" s="23" t="s">
        <v>344</v>
      </c>
      <c r="F68" s="26">
        <v>579</v>
      </c>
      <c r="G68" s="26">
        <v>1113</v>
      </c>
      <c r="H68" s="26">
        <v>47</v>
      </c>
      <c r="I68" s="31">
        <v>1</v>
      </c>
      <c r="J68" s="7">
        <f t="shared" ref="J68:J99" si="2">G68-F68+H68</f>
        <v>581</v>
      </c>
    </row>
    <row r="69" spans="1:10" x14ac:dyDescent="0.2">
      <c r="A69" s="23" t="s">
        <v>407</v>
      </c>
      <c r="B69" s="23" t="s">
        <v>141</v>
      </c>
      <c r="C69" s="23" t="s">
        <v>350</v>
      </c>
      <c r="D69" s="23" t="s">
        <v>7</v>
      </c>
      <c r="E69" s="23" t="s">
        <v>357</v>
      </c>
      <c r="F69" s="26">
        <v>286</v>
      </c>
      <c r="G69" s="26">
        <v>661</v>
      </c>
      <c r="H69" s="26">
        <v>391</v>
      </c>
      <c r="I69" s="31">
        <v>1</v>
      </c>
      <c r="J69" s="7">
        <f t="shared" si="2"/>
        <v>766</v>
      </c>
    </row>
    <row r="70" spans="1:10" x14ac:dyDescent="0.2">
      <c r="A70" s="23" t="s">
        <v>408</v>
      </c>
      <c r="B70" s="23" t="s">
        <v>272</v>
      </c>
      <c r="C70" s="23" t="s">
        <v>335</v>
      </c>
      <c r="D70" s="23" t="s">
        <v>7</v>
      </c>
      <c r="E70" s="23" t="s">
        <v>336</v>
      </c>
      <c r="F70" s="26">
        <v>153</v>
      </c>
      <c r="G70" s="26">
        <v>552</v>
      </c>
      <c r="H70" s="26">
        <v>345</v>
      </c>
      <c r="I70" s="31">
        <v>1</v>
      </c>
      <c r="J70" s="7">
        <f t="shared" si="2"/>
        <v>744</v>
      </c>
    </row>
    <row r="71" spans="1:10" x14ac:dyDescent="0.2">
      <c r="A71" s="23" t="s">
        <v>409</v>
      </c>
      <c r="B71" s="23" t="s">
        <v>272</v>
      </c>
      <c r="C71" s="23" t="s">
        <v>335</v>
      </c>
      <c r="D71" s="23" t="s">
        <v>7</v>
      </c>
      <c r="E71" s="23" t="s">
        <v>357</v>
      </c>
      <c r="F71" s="26">
        <v>581</v>
      </c>
      <c r="G71" s="26">
        <v>1953</v>
      </c>
      <c r="H71" s="26">
        <v>282</v>
      </c>
      <c r="I71" s="31">
        <v>1</v>
      </c>
      <c r="J71" s="7">
        <f t="shared" si="2"/>
        <v>1654</v>
      </c>
    </row>
    <row r="72" spans="1:10" x14ac:dyDescent="0.2">
      <c r="A72" s="23" t="s">
        <v>410</v>
      </c>
      <c r="B72" s="23" t="s">
        <v>274</v>
      </c>
      <c r="C72" s="23" t="s">
        <v>335</v>
      </c>
      <c r="D72" s="23" t="s">
        <v>7</v>
      </c>
      <c r="E72" s="23" t="s">
        <v>344</v>
      </c>
      <c r="F72" s="26">
        <v>447</v>
      </c>
      <c r="G72" s="26">
        <v>1276</v>
      </c>
      <c r="H72" s="26">
        <v>253</v>
      </c>
      <c r="I72" s="31">
        <v>1</v>
      </c>
      <c r="J72" s="7">
        <f t="shared" si="2"/>
        <v>1082</v>
      </c>
    </row>
    <row r="73" spans="1:10" x14ac:dyDescent="0.2">
      <c r="A73" s="23" t="s">
        <v>411</v>
      </c>
      <c r="B73" s="23" t="s">
        <v>274</v>
      </c>
      <c r="C73" s="23" t="s">
        <v>335</v>
      </c>
      <c r="D73" s="23" t="s">
        <v>7</v>
      </c>
      <c r="E73" s="23" t="s">
        <v>344</v>
      </c>
      <c r="F73" s="26">
        <v>375</v>
      </c>
      <c r="G73" s="26">
        <v>703</v>
      </c>
      <c r="H73" s="26">
        <v>106</v>
      </c>
      <c r="I73" s="31">
        <v>1</v>
      </c>
      <c r="J73" s="7">
        <f t="shared" si="2"/>
        <v>434</v>
      </c>
    </row>
    <row r="74" spans="1:10" x14ac:dyDescent="0.2">
      <c r="A74" s="23" t="s">
        <v>412</v>
      </c>
      <c r="B74" s="23" t="s">
        <v>143</v>
      </c>
      <c r="C74" s="23" t="s">
        <v>350</v>
      </c>
      <c r="D74" s="23" t="s">
        <v>7</v>
      </c>
      <c r="E74" s="23" t="s">
        <v>340</v>
      </c>
      <c r="F74" s="26">
        <v>695</v>
      </c>
      <c r="G74" s="26">
        <v>1562</v>
      </c>
      <c r="H74" s="26">
        <v>284</v>
      </c>
      <c r="I74" s="31">
        <v>1</v>
      </c>
      <c r="J74" s="7">
        <f t="shared" si="2"/>
        <v>1151</v>
      </c>
    </row>
    <row r="75" spans="1:10" x14ac:dyDescent="0.2">
      <c r="A75" s="23" t="s">
        <v>413</v>
      </c>
      <c r="B75" s="23" t="s">
        <v>145</v>
      </c>
      <c r="C75" s="23" t="s">
        <v>350</v>
      </c>
      <c r="D75" s="23" t="s">
        <v>7</v>
      </c>
      <c r="E75" s="23" t="s">
        <v>351</v>
      </c>
      <c r="F75" s="26">
        <v>613</v>
      </c>
      <c r="G75" s="26">
        <v>1392</v>
      </c>
      <c r="H75" s="26">
        <v>503</v>
      </c>
      <c r="I75" s="31">
        <v>1</v>
      </c>
      <c r="J75" s="7">
        <f t="shared" si="2"/>
        <v>1282</v>
      </c>
    </row>
    <row r="76" spans="1:10" x14ac:dyDescent="0.2">
      <c r="A76" s="23" t="s">
        <v>414</v>
      </c>
      <c r="B76" s="23" t="s">
        <v>147</v>
      </c>
      <c r="C76" s="23" t="s">
        <v>350</v>
      </c>
      <c r="D76" s="23" t="s">
        <v>7</v>
      </c>
      <c r="E76" s="23" t="s">
        <v>357</v>
      </c>
      <c r="F76" s="26">
        <v>795</v>
      </c>
      <c r="G76" s="26">
        <v>2012</v>
      </c>
      <c r="H76" s="26">
        <v>537</v>
      </c>
      <c r="I76" s="31">
        <v>1</v>
      </c>
      <c r="J76" s="7">
        <f t="shared" si="2"/>
        <v>1754</v>
      </c>
    </row>
    <row r="77" spans="1:10" x14ac:dyDescent="0.2">
      <c r="A77" s="23" t="s">
        <v>415</v>
      </c>
      <c r="B77" s="23" t="s">
        <v>147</v>
      </c>
      <c r="C77" s="23" t="s">
        <v>350</v>
      </c>
      <c r="D77" s="23" t="s">
        <v>7</v>
      </c>
      <c r="E77" s="23" t="s">
        <v>338</v>
      </c>
      <c r="F77" s="26">
        <v>1232</v>
      </c>
      <c r="G77" s="26">
        <v>2443</v>
      </c>
      <c r="H77" s="26">
        <v>465</v>
      </c>
      <c r="I77" s="31">
        <v>1</v>
      </c>
      <c r="J77" s="7">
        <f t="shared" si="2"/>
        <v>1676</v>
      </c>
    </row>
    <row r="78" spans="1:10" x14ac:dyDescent="0.2">
      <c r="A78" s="23" t="s">
        <v>416</v>
      </c>
      <c r="B78" s="23" t="s">
        <v>276</v>
      </c>
      <c r="C78" s="23" t="s">
        <v>335</v>
      </c>
      <c r="D78" s="23" t="s">
        <v>8</v>
      </c>
      <c r="E78" s="23" t="s">
        <v>351</v>
      </c>
      <c r="F78" s="26">
        <v>289</v>
      </c>
      <c r="G78" s="26">
        <v>555</v>
      </c>
      <c r="H78" s="26">
        <v>303</v>
      </c>
      <c r="I78" s="31">
        <v>1</v>
      </c>
      <c r="J78" s="7">
        <f t="shared" si="2"/>
        <v>569</v>
      </c>
    </row>
    <row r="79" spans="1:10" x14ac:dyDescent="0.2">
      <c r="A79" s="23" t="s">
        <v>417</v>
      </c>
      <c r="B79" s="23" t="s">
        <v>276</v>
      </c>
      <c r="C79" s="23" t="s">
        <v>335</v>
      </c>
      <c r="D79" s="23" t="s">
        <v>8</v>
      </c>
      <c r="E79" s="23" t="s">
        <v>357</v>
      </c>
      <c r="F79" s="26">
        <v>284</v>
      </c>
      <c r="G79" s="26">
        <v>988</v>
      </c>
      <c r="H79" s="26">
        <v>342</v>
      </c>
      <c r="I79" s="31">
        <v>1</v>
      </c>
      <c r="J79" s="7">
        <f t="shared" si="2"/>
        <v>1046</v>
      </c>
    </row>
    <row r="80" spans="1:10" x14ac:dyDescent="0.2">
      <c r="A80" s="23" t="s">
        <v>418</v>
      </c>
      <c r="B80" s="23" t="s">
        <v>276</v>
      </c>
      <c r="C80" s="23" t="s">
        <v>335</v>
      </c>
      <c r="D80" s="23" t="s">
        <v>8</v>
      </c>
      <c r="E80" s="23" t="s">
        <v>344</v>
      </c>
      <c r="F80" s="26">
        <v>396</v>
      </c>
      <c r="G80" s="26">
        <v>993</v>
      </c>
      <c r="H80" s="26">
        <v>298</v>
      </c>
      <c r="I80" s="31">
        <v>1</v>
      </c>
      <c r="J80" s="7">
        <f t="shared" si="2"/>
        <v>895</v>
      </c>
    </row>
    <row r="81" spans="1:10" x14ac:dyDescent="0.2">
      <c r="A81" s="23" t="s">
        <v>419</v>
      </c>
      <c r="B81" s="23" t="s">
        <v>276</v>
      </c>
      <c r="C81" s="23" t="s">
        <v>335</v>
      </c>
      <c r="D81" s="23" t="s">
        <v>8</v>
      </c>
      <c r="E81" s="23" t="s">
        <v>351</v>
      </c>
      <c r="F81" s="26">
        <v>614</v>
      </c>
      <c r="G81" s="26">
        <v>1171</v>
      </c>
      <c r="H81" s="26">
        <v>113</v>
      </c>
      <c r="I81" s="31">
        <v>1</v>
      </c>
      <c r="J81" s="7">
        <f t="shared" si="2"/>
        <v>670</v>
      </c>
    </row>
    <row r="82" spans="1:10" x14ac:dyDescent="0.2">
      <c r="A82" s="23" t="s">
        <v>420</v>
      </c>
      <c r="B82" s="23" t="s">
        <v>151</v>
      </c>
      <c r="C82" s="23" t="s">
        <v>350</v>
      </c>
      <c r="D82" s="23" t="s">
        <v>8</v>
      </c>
      <c r="E82" s="23" t="s">
        <v>336</v>
      </c>
      <c r="F82" s="26">
        <v>469</v>
      </c>
      <c r="G82" s="26">
        <v>1624</v>
      </c>
      <c r="H82" s="26">
        <v>294</v>
      </c>
      <c r="I82" s="31">
        <v>1</v>
      </c>
      <c r="J82" s="7">
        <f t="shared" si="2"/>
        <v>1449</v>
      </c>
    </row>
    <row r="83" spans="1:10" x14ac:dyDescent="0.2">
      <c r="A83" s="23" t="s">
        <v>421</v>
      </c>
      <c r="B83" s="23" t="s">
        <v>155</v>
      </c>
      <c r="C83" s="23" t="s">
        <v>350</v>
      </c>
      <c r="D83" s="23" t="s">
        <v>8</v>
      </c>
      <c r="E83" s="23" t="s">
        <v>340</v>
      </c>
      <c r="F83" s="26">
        <v>314</v>
      </c>
      <c r="G83" s="26">
        <v>949</v>
      </c>
      <c r="H83" s="26">
        <v>497</v>
      </c>
      <c r="I83" s="31">
        <v>1</v>
      </c>
      <c r="J83" s="7">
        <f t="shared" si="2"/>
        <v>1132</v>
      </c>
    </row>
    <row r="84" spans="1:10" x14ac:dyDescent="0.2">
      <c r="A84" s="23" t="s">
        <v>422</v>
      </c>
      <c r="B84" s="23" t="s">
        <v>155</v>
      </c>
      <c r="C84" s="23" t="s">
        <v>350</v>
      </c>
      <c r="D84" s="23" t="s">
        <v>8</v>
      </c>
      <c r="E84" s="23" t="s">
        <v>344</v>
      </c>
      <c r="F84" s="26">
        <v>309</v>
      </c>
      <c r="G84" s="26">
        <v>640</v>
      </c>
      <c r="H84" s="26">
        <v>41</v>
      </c>
      <c r="I84" s="31">
        <v>1</v>
      </c>
      <c r="J84" s="7">
        <f t="shared" si="2"/>
        <v>372</v>
      </c>
    </row>
    <row r="85" spans="1:10" x14ac:dyDescent="0.2">
      <c r="A85" s="23" t="s">
        <v>423</v>
      </c>
      <c r="B85" s="23" t="s">
        <v>278</v>
      </c>
      <c r="C85" s="23" t="s">
        <v>335</v>
      </c>
      <c r="D85" s="23" t="s">
        <v>8</v>
      </c>
      <c r="E85" s="23" t="s">
        <v>357</v>
      </c>
      <c r="F85" s="26">
        <v>466</v>
      </c>
      <c r="G85" s="26">
        <v>1041</v>
      </c>
      <c r="H85" s="26">
        <v>80</v>
      </c>
      <c r="I85" s="31">
        <v>1</v>
      </c>
      <c r="J85" s="7">
        <f t="shared" si="2"/>
        <v>655</v>
      </c>
    </row>
    <row r="86" spans="1:10" x14ac:dyDescent="0.2">
      <c r="A86" s="23" t="s">
        <v>424</v>
      </c>
      <c r="B86" s="23" t="s">
        <v>278</v>
      </c>
      <c r="C86" s="23" t="s">
        <v>335</v>
      </c>
      <c r="D86" s="23" t="s">
        <v>8</v>
      </c>
      <c r="E86" s="23" t="s">
        <v>344</v>
      </c>
      <c r="F86" s="26">
        <v>1107</v>
      </c>
      <c r="G86" s="26">
        <v>2317</v>
      </c>
      <c r="H86" s="26">
        <v>277</v>
      </c>
      <c r="I86" s="31">
        <v>1</v>
      </c>
      <c r="J86" s="7">
        <f t="shared" si="2"/>
        <v>1487</v>
      </c>
    </row>
    <row r="87" spans="1:10" x14ac:dyDescent="0.2">
      <c r="A87" s="23" t="s">
        <v>425</v>
      </c>
      <c r="B87" s="23" t="s">
        <v>280</v>
      </c>
      <c r="C87" s="23" t="s">
        <v>335</v>
      </c>
      <c r="D87" s="23" t="s">
        <v>8</v>
      </c>
      <c r="E87" s="23" t="s">
        <v>340</v>
      </c>
      <c r="F87" s="26">
        <v>576</v>
      </c>
      <c r="G87" s="26">
        <v>1948</v>
      </c>
      <c r="H87" s="26">
        <v>90</v>
      </c>
      <c r="I87" s="31">
        <v>1</v>
      </c>
      <c r="J87" s="7">
        <f t="shared" si="2"/>
        <v>1462</v>
      </c>
    </row>
    <row r="88" spans="1:10" x14ac:dyDescent="0.2">
      <c r="A88" s="23" t="s">
        <v>426</v>
      </c>
      <c r="B88" s="23" t="s">
        <v>280</v>
      </c>
      <c r="C88" s="23" t="s">
        <v>335</v>
      </c>
      <c r="D88" s="23" t="s">
        <v>8</v>
      </c>
      <c r="E88" s="23" t="s">
        <v>357</v>
      </c>
      <c r="F88" s="26">
        <v>575</v>
      </c>
      <c r="G88" s="26">
        <v>1771</v>
      </c>
      <c r="H88" s="26">
        <v>386</v>
      </c>
      <c r="I88" s="31">
        <v>1</v>
      </c>
      <c r="J88" s="7">
        <f t="shared" si="2"/>
        <v>1582</v>
      </c>
    </row>
    <row r="89" spans="1:10" x14ac:dyDescent="0.2">
      <c r="A89" s="23" t="s">
        <v>427</v>
      </c>
      <c r="B89" s="23" t="s">
        <v>282</v>
      </c>
      <c r="C89" s="23" t="s">
        <v>335</v>
      </c>
      <c r="D89" s="23" t="s">
        <v>8</v>
      </c>
      <c r="E89" s="23" t="s">
        <v>338</v>
      </c>
      <c r="F89" s="26">
        <v>895</v>
      </c>
      <c r="G89" s="26">
        <v>1801</v>
      </c>
      <c r="H89" s="26">
        <v>358</v>
      </c>
      <c r="I89" s="31">
        <v>1</v>
      </c>
      <c r="J89" s="7">
        <f t="shared" si="2"/>
        <v>1264</v>
      </c>
    </row>
    <row r="90" spans="1:10" x14ac:dyDescent="0.2">
      <c r="A90" s="23" t="s">
        <v>428</v>
      </c>
      <c r="B90" s="23" t="s">
        <v>157</v>
      </c>
      <c r="C90" s="23" t="s">
        <v>350</v>
      </c>
      <c r="D90" s="23" t="s">
        <v>9</v>
      </c>
      <c r="E90" s="23" t="s">
        <v>336</v>
      </c>
      <c r="F90" s="26">
        <v>295</v>
      </c>
      <c r="G90" s="26">
        <v>867</v>
      </c>
      <c r="H90" s="26">
        <v>546</v>
      </c>
      <c r="I90" s="31">
        <v>1</v>
      </c>
      <c r="J90" s="7">
        <f t="shared" si="2"/>
        <v>1118</v>
      </c>
    </row>
    <row r="91" spans="1:10" x14ac:dyDescent="0.2">
      <c r="A91" s="23" t="s">
        <v>429</v>
      </c>
      <c r="B91" s="23" t="s">
        <v>157</v>
      </c>
      <c r="C91" s="23" t="s">
        <v>350</v>
      </c>
      <c r="D91" s="23" t="s">
        <v>9</v>
      </c>
      <c r="E91" s="23" t="s">
        <v>340</v>
      </c>
      <c r="F91" s="26">
        <v>203</v>
      </c>
      <c r="G91" s="26">
        <v>589</v>
      </c>
      <c r="H91" s="26">
        <v>484</v>
      </c>
      <c r="I91" s="31">
        <v>1</v>
      </c>
      <c r="J91" s="7">
        <f t="shared" si="2"/>
        <v>870</v>
      </c>
    </row>
    <row r="92" spans="1:10" x14ac:dyDescent="0.2">
      <c r="A92" s="23" t="s">
        <v>430</v>
      </c>
      <c r="B92" s="23" t="s">
        <v>157</v>
      </c>
      <c r="C92" s="23" t="s">
        <v>350</v>
      </c>
      <c r="D92" s="23" t="s">
        <v>9</v>
      </c>
      <c r="E92" s="23" t="s">
        <v>344</v>
      </c>
      <c r="F92" s="26">
        <v>260</v>
      </c>
      <c r="G92" s="26">
        <v>685</v>
      </c>
      <c r="H92" s="26">
        <v>100</v>
      </c>
      <c r="I92" s="31">
        <v>1</v>
      </c>
      <c r="J92" s="7">
        <f t="shared" si="2"/>
        <v>525</v>
      </c>
    </row>
    <row r="93" spans="1:10" x14ac:dyDescent="0.2">
      <c r="A93" s="23" t="s">
        <v>431</v>
      </c>
      <c r="B93" s="23" t="s">
        <v>159</v>
      </c>
      <c r="C93" s="23" t="s">
        <v>350</v>
      </c>
      <c r="D93" s="23" t="s">
        <v>9</v>
      </c>
      <c r="E93" s="23" t="s">
        <v>344</v>
      </c>
      <c r="F93" s="26">
        <v>528</v>
      </c>
      <c r="G93" s="26">
        <v>1332</v>
      </c>
      <c r="H93" s="26">
        <v>246</v>
      </c>
      <c r="I93" s="31">
        <v>1</v>
      </c>
      <c r="J93" s="7">
        <f t="shared" si="2"/>
        <v>1050</v>
      </c>
    </row>
    <row r="94" spans="1:10" x14ac:dyDescent="0.2">
      <c r="A94" s="23" t="s">
        <v>432</v>
      </c>
      <c r="B94" s="23" t="s">
        <v>159</v>
      </c>
      <c r="C94" s="23" t="s">
        <v>350</v>
      </c>
      <c r="D94" s="23" t="s">
        <v>9</v>
      </c>
      <c r="E94" s="23" t="s">
        <v>357</v>
      </c>
      <c r="F94" s="26">
        <v>444</v>
      </c>
      <c r="G94" s="26">
        <v>1630</v>
      </c>
      <c r="H94" s="26">
        <v>2</v>
      </c>
      <c r="I94" s="31">
        <v>1</v>
      </c>
      <c r="J94" s="7">
        <f t="shared" si="2"/>
        <v>1188</v>
      </c>
    </row>
    <row r="95" spans="1:10" x14ac:dyDescent="0.2">
      <c r="A95" s="23" t="s">
        <v>433</v>
      </c>
      <c r="B95" s="23" t="s">
        <v>159</v>
      </c>
      <c r="C95" s="23" t="s">
        <v>350</v>
      </c>
      <c r="D95" s="23" t="s">
        <v>9</v>
      </c>
      <c r="E95" s="23" t="s">
        <v>336</v>
      </c>
      <c r="F95" s="26">
        <v>382</v>
      </c>
      <c r="G95" s="26">
        <v>703</v>
      </c>
      <c r="H95" s="26">
        <v>376</v>
      </c>
      <c r="I95" s="31">
        <v>1</v>
      </c>
      <c r="J95" s="7">
        <f t="shared" si="2"/>
        <v>697</v>
      </c>
    </row>
    <row r="96" spans="1:10" x14ac:dyDescent="0.2">
      <c r="A96" s="23" t="s">
        <v>434</v>
      </c>
      <c r="B96" s="23" t="s">
        <v>163</v>
      </c>
      <c r="C96" s="23" t="s">
        <v>350</v>
      </c>
      <c r="D96" s="23" t="s">
        <v>10</v>
      </c>
      <c r="E96" s="23" t="s">
        <v>357</v>
      </c>
      <c r="F96" s="26">
        <v>348</v>
      </c>
      <c r="G96" s="26">
        <v>747</v>
      </c>
      <c r="H96" s="26">
        <v>323</v>
      </c>
      <c r="I96" s="31">
        <v>1</v>
      </c>
      <c r="J96" s="7">
        <f t="shared" si="2"/>
        <v>722</v>
      </c>
    </row>
    <row r="97" spans="1:10" x14ac:dyDescent="0.2">
      <c r="A97" s="23" t="s">
        <v>435</v>
      </c>
      <c r="B97" s="23" t="s">
        <v>288</v>
      </c>
      <c r="C97" s="23" t="s">
        <v>335</v>
      </c>
      <c r="D97" s="23" t="s">
        <v>10</v>
      </c>
      <c r="E97" s="23" t="s">
        <v>338</v>
      </c>
      <c r="F97" s="26">
        <v>672</v>
      </c>
      <c r="G97" s="26">
        <v>2256</v>
      </c>
      <c r="H97" s="26">
        <v>210</v>
      </c>
      <c r="I97" s="31">
        <v>1</v>
      </c>
      <c r="J97" s="7">
        <f t="shared" si="2"/>
        <v>1794</v>
      </c>
    </row>
    <row r="98" spans="1:10" x14ac:dyDescent="0.2">
      <c r="A98" s="23" t="s">
        <v>436</v>
      </c>
      <c r="B98" s="23" t="s">
        <v>163</v>
      </c>
      <c r="C98" s="23" t="s">
        <v>350</v>
      </c>
      <c r="D98" s="23" t="s">
        <v>10</v>
      </c>
      <c r="E98" s="23" t="s">
        <v>336</v>
      </c>
      <c r="F98" s="26">
        <v>398</v>
      </c>
      <c r="G98" s="26">
        <v>737</v>
      </c>
      <c r="H98" s="26">
        <v>413</v>
      </c>
      <c r="I98" s="31">
        <v>1</v>
      </c>
      <c r="J98" s="7">
        <f t="shared" si="2"/>
        <v>752</v>
      </c>
    </row>
    <row r="99" spans="1:10" x14ac:dyDescent="0.2">
      <c r="A99" s="23" t="s">
        <v>437</v>
      </c>
      <c r="B99" s="23" t="s">
        <v>163</v>
      </c>
      <c r="C99" s="23" t="s">
        <v>350</v>
      </c>
      <c r="D99" s="23" t="s">
        <v>10</v>
      </c>
      <c r="E99" s="23" t="s">
        <v>344</v>
      </c>
      <c r="F99" s="26">
        <v>269</v>
      </c>
      <c r="G99" s="26">
        <v>519</v>
      </c>
      <c r="H99" s="26">
        <v>476</v>
      </c>
      <c r="I99" s="31">
        <v>1</v>
      </c>
      <c r="J99" s="7">
        <f t="shared" si="2"/>
        <v>726</v>
      </c>
    </row>
    <row r="100" spans="1:10" x14ac:dyDescent="0.2">
      <c r="A100" s="23" t="s">
        <v>438</v>
      </c>
      <c r="B100" s="23" t="s">
        <v>290</v>
      </c>
      <c r="C100" s="23" t="s">
        <v>335</v>
      </c>
      <c r="D100" s="23" t="s">
        <v>10</v>
      </c>
      <c r="E100" s="23" t="s">
        <v>340</v>
      </c>
      <c r="F100" s="26">
        <v>698</v>
      </c>
      <c r="G100" s="26">
        <v>1312</v>
      </c>
      <c r="H100" s="26">
        <v>101</v>
      </c>
      <c r="I100" s="31">
        <v>1</v>
      </c>
      <c r="J100" s="7">
        <f t="shared" ref="J100:J131" si="3">G100-F100+H100</f>
        <v>715</v>
      </c>
    </row>
    <row r="101" spans="1:10" x14ac:dyDescent="0.2">
      <c r="A101" s="23" t="s">
        <v>439</v>
      </c>
      <c r="B101" s="23" t="s">
        <v>290</v>
      </c>
      <c r="C101" s="23" t="s">
        <v>335</v>
      </c>
      <c r="D101" s="23" t="s">
        <v>10</v>
      </c>
      <c r="E101" s="23" t="s">
        <v>336</v>
      </c>
      <c r="F101" s="26">
        <v>440</v>
      </c>
      <c r="G101" s="26">
        <v>1680</v>
      </c>
      <c r="H101" s="26">
        <v>387</v>
      </c>
      <c r="I101" s="31">
        <v>1</v>
      </c>
      <c r="J101" s="7">
        <f t="shared" si="3"/>
        <v>1627</v>
      </c>
    </row>
    <row r="102" spans="1:10" x14ac:dyDescent="0.2">
      <c r="A102" s="23" t="s">
        <v>440</v>
      </c>
      <c r="B102" s="23" t="s">
        <v>290</v>
      </c>
      <c r="C102" s="23" t="s">
        <v>335</v>
      </c>
      <c r="D102" s="23" t="s">
        <v>10</v>
      </c>
      <c r="E102" s="23" t="s">
        <v>344</v>
      </c>
      <c r="F102" s="26">
        <v>1023</v>
      </c>
      <c r="G102" s="26">
        <v>1881</v>
      </c>
      <c r="H102" s="26">
        <v>285</v>
      </c>
      <c r="I102" s="31">
        <v>1</v>
      </c>
      <c r="J102" s="7">
        <f t="shared" si="3"/>
        <v>1143</v>
      </c>
    </row>
    <row r="103" spans="1:10" x14ac:dyDescent="0.2">
      <c r="A103" s="23" t="s">
        <v>441</v>
      </c>
      <c r="B103" s="23" t="s">
        <v>290</v>
      </c>
      <c r="C103" s="23" t="s">
        <v>335</v>
      </c>
      <c r="D103" s="23" t="s">
        <v>10</v>
      </c>
      <c r="E103" s="23" t="s">
        <v>336</v>
      </c>
      <c r="F103" s="26">
        <v>618</v>
      </c>
      <c r="G103" s="26">
        <v>1697</v>
      </c>
      <c r="H103" s="26">
        <v>326</v>
      </c>
      <c r="I103" s="31">
        <v>1</v>
      </c>
      <c r="J103" s="7">
        <f t="shared" si="3"/>
        <v>1405</v>
      </c>
    </row>
    <row r="104" spans="1:10" x14ac:dyDescent="0.2">
      <c r="A104" s="23" t="s">
        <v>442</v>
      </c>
      <c r="B104" s="23" t="s">
        <v>165</v>
      </c>
      <c r="C104" s="23" t="s">
        <v>350</v>
      </c>
      <c r="D104" s="23" t="s">
        <v>10</v>
      </c>
      <c r="E104" s="23" t="s">
        <v>336</v>
      </c>
      <c r="F104" s="26">
        <v>813</v>
      </c>
      <c r="G104" s="26">
        <v>1776</v>
      </c>
      <c r="H104" s="26">
        <v>82</v>
      </c>
      <c r="I104" s="31">
        <v>1</v>
      </c>
      <c r="J104" s="7">
        <f t="shared" si="3"/>
        <v>1045</v>
      </c>
    </row>
    <row r="105" spans="1:10" x14ac:dyDescent="0.2">
      <c r="A105" s="23" t="s">
        <v>443</v>
      </c>
      <c r="B105" s="23" t="s">
        <v>167</v>
      </c>
      <c r="C105" s="23" t="s">
        <v>350</v>
      </c>
      <c r="D105" s="23" t="s">
        <v>10</v>
      </c>
      <c r="E105" s="23" t="s">
        <v>357</v>
      </c>
      <c r="F105" s="26">
        <v>173</v>
      </c>
      <c r="G105" s="26">
        <v>646</v>
      </c>
      <c r="H105" s="26">
        <v>314</v>
      </c>
      <c r="I105" s="31">
        <v>1</v>
      </c>
      <c r="J105" s="7">
        <f t="shared" si="3"/>
        <v>787</v>
      </c>
    </row>
    <row r="106" spans="1:10" x14ac:dyDescent="0.2">
      <c r="A106" s="23" t="s">
        <v>444</v>
      </c>
      <c r="B106" s="23" t="s">
        <v>169</v>
      </c>
      <c r="C106" s="23" t="s">
        <v>350</v>
      </c>
      <c r="D106" s="23" t="s">
        <v>10</v>
      </c>
      <c r="E106" s="23" t="s">
        <v>340</v>
      </c>
      <c r="F106" s="26">
        <v>508</v>
      </c>
      <c r="G106" s="26">
        <v>1016</v>
      </c>
      <c r="H106" s="26">
        <v>481</v>
      </c>
      <c r="I106" s="31">
        <v>1</v>
      </c>
      <c r="J106" s="7">
        <f t="shared" si="3"/>
        <v>989</v>
      </c>
    </row>
    <row r="107" spans="1:10" x14ac:dyDescent="0.2">
      <c r="A107" s="23" t="s">
        <v>445</v>
      </c>
      <c r="B107" s="23" t="s">
        <v>169</v>
      </c>
      <c r="C107" s="23" t="s">
        <v>350</v>
      </c>
      <c r="D107" s="23" t="s">
        <v>10</v>
      </c>
      <c r="E107" s="23" t="s">
        <v>340</v>
      </c>
      <c r="F107" s="26">
        <v>474</v>
      </c>
      <c r="G107" s="26">
        <v>999</v>
      </c>
      <c r="H107" s="26">
        <v>583</v>
      </c>
      <c r="I107" s="31">
        <v>1</v>
      </c>
      <c r="J107" s="7">
        <f t="shared" si="3"/>
        <v>1108</v>
      </c>
    </row>
    <row r="108" spans="1:10" x14ac:dyDescent="0.2">
      <c r="A108" s="23" t="s">
        <v>446</v>
      </c>
      <c r="B108" s="23" t="s">
        <v>171</v>
      </c>
      <c r="C108" s="23" t="s">
        <v>350</v>
      </c>
      <c r="D108" s="23" t="s">
        <v>10</v>
      </c>
      <c r="E108" s="23" t="s">
        <v>344</v>
      </c>
      <c r="F108" s="26">
        <v>481</v>
      </c>
      <c r="G108" s="26">
        <v>1619</v>
      </c>
      <c r="H108" s="26">
        <v>452</v>
      </c>
      <c r="I108" s="31">
        <v>1</v>
      </c>
      <c r="J108" s="7">
        <f t="shared" si="3"/>
        <v>1590</v>
      </c>
    </row>
    <row r="109" spans="1:10" x14ac:dyDescent="0.2">
      <c r="A109" s="23" t="s">
        <v>447</v>
      </c>
      <c r="B109" s="23" t="s">
        <v>173</v>
      </c>
      <c r="C109" s="23" t="s">
        <v>350</v>
      </c>
      <c r="D109" s="23" t="s">
        <v>11</v>
      </c>
      <c r="E109" s="23" t="s">
        <v>344</v>
      </c>
      <c r="F109" s="26">
        <v>700</v>
      </c>
      <c r="G109" s="26">
        <v>2433</v>
      </c>
      <c r="H109" s="26">
        <v>502</v>
      </c>
      <c r="I109" s="31">
        <v>1</v>
      </c>
      <c r="J109" s="7">
        <f t="shared" si="3"/>
        <v>2235</v>
      </c>
    </row>
    <row r="110" spans="1:10" x14ac:dyDescent="0.2">
      <c r="A110" s="23" t="s">
        <v>448</v>
      </c>
      <c r="B110" s="23" t="s">
        <v>173</v>
      </c>
      <c r="C110" s="23" t="s">
        <v>350</v>
      </c>
      <c r="D110" s="23" t="s">
        <v>11</v>
      </c>
      <c r="E110" s="23" t="s">
        <v>336</v>
      </c>
      <c r="F110" s="26">
        <v>760</v>
      </c>
      <c r="G110" s="26">
        <v>2030</v>
      </c>
      <c r="H110" s="26">
        <v>205</v>
      </c>
      <c r="I110" s="31">
        <v>1</v>
      </c>
      <c r="J110" s="7">
        <f t="shared" si="3"/>
        <v>1475</v>
      </c>
    </row>
    <row r="111" spans="1:10" x14ac:dyDescent="0.2">
      <c r="A111" s="23" t="s">
        <v>449</v>
      </c>
      <c r="B111" s="23" t="s">
        <v>173</v>
      </c>
      <c r="C111" s="23" t="s">
        <v>350</v>
      </c>
      <c r="D111" s="23" t="s">
        <v>11</v>
      </c>
      <c r="E111" s="23" t="s">
        <v>344</v>
      </c>
      <c r="F111" s="26">
        <v>802</v>
      </c>
      <c r="G111" s="26">
        <v>2282</v>
      </c>
      <c r="H111" s="26">
        <v>117</v>
      </c>
      <c r="I111" s="31">
        <v>1</v>
      </c>
      <c r="J111" s="7">
        <f t="shared" si="3"/>
        <v>1597</v>
      </c>
    </row>
    <row r="112" spans="1:10" x14ac:dyDescent="0.2">
      <c r="A112" s="23" t="s">
        <v>450</v>
      </c>
      <c r="B112" s="23" t="s">
        <v>292</v>
      </c>
      <c r="C112" s="23" t="s">
        <v>335</v>
      </c>
      <c r="D112" s="23" t="s">
        <v>11</v>
      </c>
      <c r="E112" s="23" t="s">
        <v>344</v>
      </c>
      <c r="F112" s="26">
        <v>659</v>
      </c>
      <c r="G112" s="26">
        <v>2493</v>
      </c>
      <c r="H112" s="26">
        <v>310</v>
      </c>
      <c r="I112" s="31">
        <v>1</v>
      </c>
      <c r="J112" s="7">
        <f t="shared" si="3"/>
        <v>2144</v>
      </c>
    </row>
    <row r="113" spans="1:10" x14ac:dyDescent="0.2">
      <c r="A113" s="23" t="s">
        <v>451</v>
      </c>
      <c r="B113" s="23" t="s">
        <v>175</v>
      </c>
      <c r="C113" s="23" t="s">
        <v>350</v>
      </c>
      <c r="D113" s="23" t="s">
        <v>11</v>
      </c>
      <c r="E113" s="23" t="s">
        <v>340</v>
      </c>
      <c r="F113" s="26">
        <v>1162</v>
      </c>
      <c r="G113" s="26">
        <v>2247</v>
      </c>
      <c r="H113" s="26">
        <v>429</v>
      </c>
      <c r="I113" s="31">
        <v>1</v>
      </c>
      <c r="J113" s="7">
        <f t="shared" si="3"/>
        <v>1514</v>
      </c>
    </row>
    <row r="114" spans="1:10" x14ac:dyDescent="0.2">
      <c r="A114" s="23" t="s">
        <v>452</v>
      </c>
      <c r="B114" s="23" t="s">
        <v>175</v>
      </c>
      <c r="C114" s="23" t="s">
        <v>350</v>
      </c>
      <c r="D114" s="23" t="s">
        <v>11</v>
      </c>
      <c r="E114" s="23" t="s">
        <v>351</v>
      </c>
      <c r="F114" s="26">
        <v>470</v>
      </c>
      <c r="G114" s="26">
        <v>1378</v>
      </c>
      <c r="H114" s="26">
        <v>61</v>
      </c>
      <c r="I114" s="31">
        <v>1</v>
      </c>
      <c r="J114" s="7">
        <f t="shared" si="3"/>
        <v>969</v>
      </c>
    </row>
    <row r="115" spans="1:10" x14ac:dyDescent="0.2">
      <c r="A115" s="23" t="s">
        <v>453</v>
      </c>
      <c r="B115" s="23" t="s">
        <v>175</v>
      </c>
      <c r="C115" s="23" t="s">
        <v>350</v>
      </c>
      <c r="D115" s="23" t="s">
        <v>11</v>
      </c>
      <c r="E115" s="23" t="s">
        <v>344</v>
      </c>
      <c r="F115" s="26">
        <v>380</v>
      </c>
      <c r="G115" s="26">
        <v>1336</v>
      </c>
      <c r="H115" s="26">
        <v>46</v>
      </c>
      <c r="I115" s="31">
        <v>1</v>
      </c>
      <c r="J115" s="7">
        <f t="shared" si="3"/>
        <v>1002</v>
      </c>
    </row>
    <row r="116" spans="1:10" x14ac:dyDescent="0.2">
      <c r="A116" s="23" t="s">
        <v>454</v>
      </c>
      <c r="B116" s="23" t="s">
        <v>177</v>
      </c>
      <c r="C116" s="23" t="s">
        <v>350</v>
      </c>
      <c r="D116" s="23" t="s">
        <v>11</v>
      </c>
      <c r="E116" s="23" t="s">
        <v>344</v>
      </c>
      <c r="F116" s="26">
        <v>609</v>
      </c>
      <c r="G116" s="26">
        <v>1691</v>
      </c>
      <c r="H116" s="26">
        <v>566</v>
      </c>
      <c r="I116" s="31">
        <v>1</v>
      </c>
      <c r="J116" s="7">
        <f t="shared" si="3"/>
        <v>1648</v>
      </c>
    </row>
    <row r="117" spans="1:10" x14ac:dyDescent="0.2">
      <c r="A117" s="23" t="s">
        <v>455</v>
      </c>
      <c r="B117" s="23" t="s">
        <v>294</v>
      </c>
      <c r="C117" s="23" t="s">
        <v>335</v>
      </c>
      <c r="D117" s="23" t="s">
        <v>11</v>
      </c>
      <c r="E117" s="23" t="s">
        <v>340</v>
      </c>
      <c r="F117" s="26">
        <v>844</v>
      </c>
      <c r="G117" s="26">
        <v>1822</v>
      </c>
      <c r="H117" s="26">
        <v>229</v>
      </c>
      <c r="I117" s="31">
        <v>1</v>
      </c>
      <c r="J117" s="7">
        <f t="shared" si="3"/>
        <v>1207</v>
      </c>
    </row>
    <row r="118" spans="1:10" x14ac:dyDescent="0.2">
      <c r="A118" s="23" t="s">
        <v>456</v>
      </c>
      <c r="B118" s="23" t="s">
        <v>294</v>
      </c>
      <c r="C118" s="23" t="s">
        <v>335</v>
      </c>
      <c r="D118" s="23" t="s">
        <v>11</v>
      </c>
      <c r="E118" s="23" t="s">
        <v>340</v>
      </c>
      <c r="F118" s="26">
        <v>489</v>
      </c>
      <c r="G118" s="26">
        <v>1090</v>
      </c>
      <c r="H118" s="26">
        <v>205</v>
      </c>
      <c r="I118" s="31">
        <v>1</v>
      </c>
      <c r="J118" s="7">
        <f t="shared" si="3"/>
        <v>806</v>
      </c>
    </row>
    <row r="119" spans="1:10" x14ac:dyDescent="0.2">
      <c r="A119" s="23" t="s">
        <v>457</v>
      </c>
      <c r="B119" s="23" t="s">
        <v>294</v>
      </c>
      <c r="C119" s="23" t="s">
        <v>335</v>
      </c>
      <c r="D119" s="23" t="s">
        <v>11</v>
      </c>
      <c r="E119" s="23" t="s">
        <v>336</v>
      </c>
      <c r="F119" s="26">
        <v>722</v>
      </c>
      <c r="G119" s="26">
        <v>1435</v>
      </c>
      <c r="H119" s="26">
        <v>101</v>
      </c>
      <c r="I119" s="31">
        <v>1</v>
      </c>
      <c r="J119" s="7">
        <f t="shared" si="3"/>
        <v>814</v>
      </c>
    </row>
    <row r="120" spans="1:10" x14ac:dyDescent="0.2">
      <c r="A120" s="23" t="s">
        <v>458</v>
      </c>
      <c r="B120" s="23" t="s">
        <v>298</v>
      </c>
      <c r="C120" s="23" t="s">
        <v>335</v>
      </c>
      <c r="D120" s="23" t="s">
        <v>12</v>
      </c>
      <c r="E120" s="23" t="s">
        <v>340</v>
      </c>
      <c r="F120" s="26">
        <v>705</v>
      </c>
      <c r="G120" s="26">
        <v>1290</v>
      </c>
      <c r="H120" s="26">
        <v>333</v>
      </c>
      <c r="I120" s="31">
        <v>1</v>
      </c>
      <c r="J120" s="7">
        <f t="shared" si="3"/>
        <v>918</v>
      </c>
    </row>
    <row r="121" spans="1:10" x14ac:dyDescent="0.2">
      <c r="A121" s="23" t="s">
        <v>459</v>
      </c>
      <c r="B121" s="23" t="s">
        <v>300</v>
      </c>
      <c r="C121" s="23" t="s">
        <v>335</v>
      </c>
      <c r="D121" s="23" t="s">
        <v>12</v>
      </c>
      <c r="E121" s="23" t="s">
        <v>338</v>
      </c>
      <c r="F121" s="26">
        <v>1037</v>
      </c>
      <c r="G121" s="26">
        <v>2092</v>
      </c>
      <c r="H121" s="26">
        <v>159</v>
      </c>
      <c r="I121" s="31">
        <v>1</v>
      </c>
      <c r="J121" s="7">
        <f t="shared" si="3"/>
        <v>1214</v>
      </c>
    </row>
    <row r="122" spans="1:10" x14ac:dyDescent="0.2">
      <c r="A122" s="23" t="s">
        <v>460</v>
      </c>
      <c r="B122" s="23" t="s">
        <v>300</v>
      </c>
      <c r="C122" s="23" t="s">
        <v>335</v>
      </c>
      <c r="D122" s="23" t="s">
        <v>12</v>
      </c>
      <c r="E122" s="23" t="s">
        <v>336</v>
      </c>
      <c r="F122" s="26">
        <v>711</v>
      </c>
      <c r="G122" s="26">
        <v>1542</v>
      </c>
      <c r="H122" s="26">
        <v>212</v>
      </c>
      <c r="I122" s="31">
        <v>1</v>
      </c>
      <c r="J122" s="7">
        <f t="shared" si="3"/>
        <v>1043</v>
      </c>
    </row>
    <row r="123" spans="1:10" x14ac:dyDescent="0.2">
      <c r="A123" s="23" t="s">
        <v>461</v>
      </c>
      <c r="B123" s="23" t="s">
        <v>302</v>
      </c>
      <c r="C123" s="23" t="s">
        <v>335</v>
      </c>
      <c r="D123" s="23" t="s">
        <v>12</v>
      </c>
      <c r="E123" s="23" t="s">
        <v>357</v>
      </c>
      <c r="F123" s="26">
        <v>866</v>
      </c>
      <c r="G123" s="26">
        <v>2221</v>
      </c>
      <c r="H123" s="26">
        <v>65</v>
      </c>
      <c r="I123" s="31">
        <v>1</v>
      </c>
      <c r="J123" s="7">
        <f t="shared" si="3"/>
        <v>1420</v>
      </c>
    </row>
    <row r="124" spans="1:10" x14ac:dyDescent="0.2">
      <c r="A124" s="23" t="s">
        <v>462</v>
      </c>
      <c r="B124" s="23" t="s">
        <v>302</v>
      </c>
      <c r="C124" s="23" t="s">
        <v>335</v>
      </c>
      <c r="D124" s="23" t="s">
        <v>12</v>
      </c>
      <c r="E124" s="23" t="s">
        <v>336</v>
      </c>
      <c r="F124" s="26">
        <v>943</v>
      </c>
      <c r="G124" s="26">
        <v>2215</v>
      </c>
      <c r="H124" s="26">
        <v>337</v>
      </c>
      <c r="I124" s="31">
        <v>1</v>
      </c>
      <c r="J124" s="7">
        <f t="shared" si="3"/>
        <v>1609</v>
      </c>
    </row>
    <row r="125" spans="1:10" x14ac:dyDescent="0.2">
      <c r="A125" s="23" t="s">
        <v>463</v>
      </c>
      <c r="B125" s="23" t="s">
        <v>302</v>
      </c>
      <c r="C125" s="23" t="s">
        <v>335</v>
      </c>
      <c r="D125" s="23" t="s">
        <v>12</v>
      </c>
      <c r="E125" s="23" t="s">
        <v>344</v>
      </c>
      <c r="F125" s="26">
        <v>949</v>
      </c>
      <c r="G125" s="26">
        <v>1894</v>
      </c>
      <c r="H125" s="26">
        <v>321</v>
      </c>
      <c r="I125" s="31">
        <v>1</v>
      </c>
      <c r="J125" s="7">
        <f t="shared" si="3"/>
        <v>1266</v>
      </c>
    </row>
    <row r="126" spans="1:10" x14ac:dyDescent="0.2">
      <c r="A126" s="23" t="s">
        <v>464</v>
      </c>
      <c r="B126" s="23" t="s">
        <v>304</v>
      </c>
      <c r="C126" s="23" t="s">
        <v>335</v>
      </c>
      <c r="D126" s="23" t="s">
        <v>12</v>
      </c>
      <c r="E126" s="23" t="s">
        <v>351</v>
      </c>
      <c r="F126" s="26">
        <v>1102</v>
      </c>
      <c r="G126" s="26">
        <v>2477</v>
      </c>
      <c r="H126" s="26">
        <v>315</v>
      </c>
      <c r="I126" s="31">
        <v>1</v>
      </c>
      <c r="J126" s="7">
        <f t="shared" si="3"/>
        <v>1690</v>
      </c>
    </row>
    <row r="127" spans="1:10" x14ac:dyDescent="0.2">
      <c r="A127" s="23" t="s">
        <v>465</v>
      </c>
      <c r="B127" s="23" t="s">
        <v>181</v>
      </c>
      <c r="C127" s="23" t="s">
        <v>350</v>
      </c>
      <c r="D127" s="23" t="s">
        <v>12</v>
      </c>
      <c r="E127" s="23" t="s">
        <v>357</v>
      </c>
      <c r="F127" s="26">
        <v>498</v>
      </c>
      <c r="G127" s="26">
        <v>1431</v>
      </c>
      <c r="H127" s="26">
        <v>388</v>
      </c>
      <c r="I127" s="31">
        <v>1</v>
      </c>
      <c r="J127" s="7">
        <f t="shared" si="3"/>
        <v>1321</v>
      </c>
    </row>
    <row r="128" spans="1:10" x14ac:dyDescent="0.2">
      <c r="A128" s="23" t="s">
        <v>466</v>
      </c>
      <c r="B128" s="23" t="s">
        <v>181</v>
      </c>
      <c r="C128" s="23" t="s">
        <v>350</v>
      </c>
      <c r="D128" s="23" t="s">
        <v>12</v>
      </c>
      <c r="E128" s="23" t="s">
        <v>357</v>
      </c>
      <c r="F128" s="26">
        <v>469</v>
      </c>
      <c r="G128" s="26">
        <v>1498</v>
      </c>
      <c r="H128" s="26">
        <v>264</v>
      </c>
      <c r="I128" s="31">
        <v>1</v>
      </c>
      <c r="J128" s="7">
        <f t="shared" si="3"/>
        <v>1293</v>
      </c>
    </row>
    <row r="129" spans="1:10" x14ac:dyDescent="0.2">
      <c r="A129" s="23" t="s">
        <v>467</v>
      </c>
      <c r="B129" s="23" t="s">
        <v>181</v>
      </c>
      <c r="C129" s="23" t="s">
        <v>350</v>
      </c>
      <c r="D129" s="23" t="s">
        <v>12</v>
      </c>
      <c r="E129" s="23" t="s">
        <v>357</v>
      </c>
      <c r="F129" s="26">
        <v>620</v>
      </c>
      <c r="G129" s="26">
        <v>1928</v>
      </c>
      <c r="H129" s="26">
        <v>392</v>
      </c>
      <c r="I129" s="31">
        <v>1</v>
      </c>
      <c r="J129" s="7">
        <f t="shared" si="3"/>
        <v>1700</v>
      </c>
    </row>
    <row r="130" spans="1:10" x14ac:dyDescent="0.2">
      <c r="A130" s="23" t="s">
        <v>468</v>
      </c>
      <c r="B130" s="23" t="s">
        <v>181</v>
      </c>
      <c r="C130" s="23" t="s">
        <v>350</v>
      </c>
      <c r="D130" s="23" t="s">
        <v>12</v>
      </c>
      <c r="E130" s="23" t="s">
        <v>338</v>
      </c>
      <c r="F130" s="26">
        <v>393</v>
      </c>
      <c r="G130" s="26">
        <v>1100</v>
      </c>
      <c r="H130" s="26">
        <v>441</v>
      </c>
      <c r="I130" s="31">
        <v>1</v>
      </c>
      <c r="J130" s="7">
        <f t="shared" si="3"/>
        <v>1148</v>
      </c>
    </row>
    <row r="131" spans="1:10" x14ac:dyDescent="0.2">
      <c r="A131" s="23" t="s">
        <v>469</v>
      </c>
      <c r="B131" s="23" t="s">
        <v>183</v>
      </c>
      <c r="C131" s="23" t="s">
        <v>350</v>
      </c>
      <c r="D131" s="23" t="s">
        <v>12</v>
      </c>
      <c r="E131" s="23" t="s">
        <v>336</v>
      </c>
      <c r="F131" s="26">
        <v>748</v>
      </c>
      <c r="G131" s="26">
        <v>1939</v>
      </c>
      <c r="H131" s="26">
        <v>313</v>
      </c>
      <c r="I131" s="31">
        <v>1</v>
      </c>
      <c r="J131" s="7">
        <f t="shared" si="3"/>
        <v>1504</v>
      </c>
    </row>
    <row r="132" spans="1:10" x14ac:dyDescent="0.2">
      <c r="A132" s="23" t="s">
        <v>470</v>
      </c>
      <c r="B132" s="23" t="s">
        <v>183</v>
      </c>
      <c r="C132" s="23" t="s">
        <v>350</v>
      </c>
      <c r="D132" s="23" t="s">
        <v>12</v>
      </c>
      <c r="E132" s="23" t="s">
        <v>351</v>
      </c>
      <c r="F132" s="26">
        <v>851</v>
      </c>
      <c r="G132" s="26">
        <v>2062</v>
      </c>
      <c r="H132" s="26">
        <v>466</v>
      </c>
      <c r="I132" s="31">
        <v>1</v>
      </c>
      <c r="J132" s="7">
        <f t="shared" ref="J132:J153" si="4">G132-F132+H132</f>
        <v>1677</v>
      </c>
    </row>
    <row r="133" spans="1:10" x14ac:dyDescent="0.2">
      <c r="A133" s="23" t="s">
        <v>471</v>
      </c>
      <c r="B133" s="23" t="s">
        <v>183</v>
      </c>
      <c r="C133" s="23" t="s">
        <v>350</v>
      </c>
      <c r="D133" s="23" t="s">
        <v>12</v>
      </c>
      <c r="E133" s="23" t="s">
        <v>344</v>
      </c>
      <c r="F133" s="26">
        <v>926</v>
      </c>
      <c r="G133" s="26">
        <v>2259</v>
      </c>
      <c r="H133" s="26">
        <v>324</v>
      </c>
      <c r="I133" s="31">
        <v>1</v>
      </c>
      <c r="J133" s="7">
        <f t="shared" si="4"/>
        <v>1657</v>
      </c>
    </row>
    <row r="134" spans="1:10" x14ac:dyDescent="0.2">
      <c r="A134" s="23" t="s">
        <v>472</v>
      </c>
      <c r="B134" s="23" t="s">
        <v>185</v>
      </c>
      <c r="C134" s="23" t="s">
        <v>350</v>
      </c>
      <c r="D134" s="23" t="s">
        <v>12</v>
      </c>
      <c r="E134" s="23" t="s">
        <v>336</v>
      </c>
      <c r="F134" s="26">
        <v>987</v>
      </c>
      <c r="G134" s="26">
        <v>2302</v>
      </c>
      <c r="H134" s="26">
        <v>282</v>
      </c>
      <c r="I134" s="31">
        <v>1</v>
      </c>
      <c r="J134" s="7">
        <f t="shared" si="4"/>
        <v>1597</v>
      </c>
    </row>
    <row r="135" spans="1:10" x14ac:dyDescent="0.2">
      <c r="A135" s="23" t="s">
        <v>473</v>
      </c>
      <c r="B135" s="23" t="s">
        <v>185</v>
      </c>
      <c r="C135" s="23" t="s">
        <v>350</v>
      </c>
      <c r="D135" s="23" t="s">
        <v>12</v>
      </c>
      <c r="E135" s="23" t="s">
        <v>351</v>
      </c>
      <c r="F135" s="26">
        <v>519</v>
      </c>
      <c r="G135" s="26">
        <v>1047</v>
      </c>
      <c r="H135" s="26">
        <v>289</v>
      </c>
      <c r="I135" s="31">
        <v>1</v>
      </c>
      <c r="J135" s="7">
        <f t="shared" si="4"/>
        <v>817</v>
      </c>
    </row>
    <row r="136" spans="1:10" x14ac:dyDescent="0.2">
      <c r="A136" s="23" t="s">
        <v>474</v>
      </c>
      <c r="B136" s="23" t="s">
        <v>308</v>
      </c>
      <c r="C136" s="23" t="s">
        <v>335</v>
      </c>
      <c r="D136" s="23" t="s">
        <v>12</v>
      </c>
      <c r="E136" s="23" t="s">
        <v>340</v>
      </c>
      <c r="F136" s="26">
        <v>1149</v>
      </c>
      <c r="G136" s="26">
        <v>2205</v>
      </c>
      <c r="H136" s="26">
        <v>146</v>
      </c>
      <c r="I136" s="31">
        <v>1</v>
      </c>
      <c r="J136" s="7">
        <f t="shared" si="4"/>
        <v>1202</v>
      </c>
    </row>
    <row r="137" spans="1:10" x14ac:dyDescent="0.2">
      <c r="A137" s="23" t="s">
        <v>475</v>
      </c>
      <c r="B137" s="23" t="s">
        <v>308</v>
      </c>
      <c r="C137" s="23" t="s">
        <v>335</v>
      </c>
      <c r="D137" s="23" t="s">
        <v>12</v>
      </c>
      <c r="E137" s="23" t="s">
        <v>344</v>
      </c>
      <c r="F137" s="26">
        <v>1004</v>
      </c>
      <c r="G137" s="26">
        <v>2437</v>
      </c>
      <c r="H137" s="26">
        <v>300</v>
      </c>
      <c r="I137" s="31">
        <v>1</v>
      </c>
      <c r="J137" s="7">
        <f t="shared" si="4"/>
        <v>1733</v>
      </c>
    </row>
    <row r="138" spans="1:10" x14ac:dyDescent="0.2">
      <c r="A138" s="23" t="s">
        <v>476</v>
      </c>
      <c r="B138" s="23" t="s">
        <v>308</v>
      </c>
      <c r="C138" s="23" t="s">
        <v>335</v>
      </c>
      <c r="D138" s="23" t="s">
        <v>12</v>
      </c>
      <c r="E138" s="23" t="s">
        <v>344</v>
      </c>
      <c r="F138" s="26">
        <v>420</v>
      </c>
      <c r="G138" s="26">
        <v>816</v>
      </c>
      <c r="H138" s="26">
        <v>335</v>
      </c>
      <c r="I138" s="31">
        <v>1</v>
      </c>
      <c r="J138" s="7">
        <f t="shared" si="4"/>
        <v>731</v>
      </c>
    </row>
    <row r="139" spans="1:10" x14ac:dyDescent="0.2">
      <c r="A139" s="23" t="s">
        <v>477</v>
      </c>
      <c r="B139" s="23" t="s">
        <v>187</v>
      </c>
      <c r="C139" s="23" t="s">
        <v>350</v>
      </c>
      <c r="D139" s="23" t="s">
        <v>12</v>
      </c>
      <c r="E139" s="23" t="s">
        <v>351</v>
      </c>
      <c r="F139" s="26">
        <v>491</v>
      </c>
      <c r="G139" s="26">
        <v>1112</v>
      </c>
      <c r="H139" s="26">
        <v>434</v>
      </c>
      <c r="I139" s="31">
        <v>1</v>
      </c>
      <c r="J139" s="7">
        <f t="shared" si="4"/>
        <v>1055</v>
      </c>
    </row>
    <row r="140" spans="1:10" x14ac:dyDescent="0.2">
      <c r="A140" s="23" t="s">
        <v>478</v>
      </c>
      <c r="B140" s="23" t="s">
        <v>310</v>
      </c>
      <c r="C140" s="23" t="s">
        <v>335</v>
      </c>
      <c r="D140" s="23" t="s">
        <v>12</v>
      </c>
      <c r="E140" s="23" t="s">
        <v>338</v>
      </c>
      <c r="F140" s="26">
        <v>792</v>
      </c>
      <c r="G140" s="26">
        <v>2444</v>
      </c>
      <c r="H140" s="26">
        <v>10</v>
      </c>
      <c r="I140" s="31">
        <v>1</v>
      </c>
      <c r="J140" s="7">
        <f t="shared" si="4"/>
        <v>1662</v>
      </c>
    </row>
    <row r="141" spans="1:10" x14ac:dyDescent="0.2">
      <c r="A141" s="23" t="s">
        <v>479</v>
      </c>
      <c r="B141" s="23" t="s">
        <v>310</v>
      </c>
      <c r="C141" s="23" t="s">
        <v>335</v>
      </c>
      <c r="D141" s="23" t="s">
        <v>12</v>
      </c>
      <c r="E141" s="23" t="s">
        <v>340</v>
      </c>
      <c r="F141" s="26">
        <v>681</v>
      </c>
      <c r="G141" s="26">
        <v>1780</v>
      </c>
      <c r="H141" s="26">
        <v>26</v>
      </c>
      <c r="I141" s="31">
        <v>1</v>
      </c>
      <c r="J141" s="7">
        <f t="shared" si="4"/>
        <v>1125</v>
      </c>
    </row>
    <row r="142" spans="1:10" x14ac:dyDescent="0.2">
      <c r="A142" s="23" t="s">
        <v>480</v>
      </c>
      <c r="B142" s="23" t="s">
        <v>189</v>
      </c>
      <c r="C142" s="23" t="s">
        <v>350</v>
      </c>
      <c r="D142" s="23" t="s">
        <v>12</v>
      </c>
      <c r="E142" s="23" t="s">
        <v>351</v>
      </c>
      <c r="F142" s="26">
        <v>605</v>
      </c>
      <c r="G142" s="26">
        <v>1105</v>
      </c>
      <c r="H142" s="26">
        <v>302</v>
      </c>
      <c r="I142" s="31">
        <v>1</v>
      </c>
      <c r="J142" s="7">
        <f t="shared" si="4"/>
        <v>802</v>
      </c>
    </row>
    <row r="143" spans="1:10" x14ac:dyDescent="0.2">
      <c r="A143" s="23" t="s">
        <v>481</v>
      </c>
      <c r="B143" s="23" t="s">
        <v>191</v>
      </c>
      <c r="C143" s="23" t="s">
        <v>350</v>
      </c>
      <c r="D143" s="23" t="s">
        <v>12</v>
      </c>
      <c r="E143" s="23" t="s">
        <v>338</v>
      </c>
      <c r="F143" s="26">
        <v>780</v>
      </c>
      <c r="G143" s="26">
        <v>2119</v>
      </c>
      <c r="H143" s="26">
        <v>270</v>
      </c>
      <c r="I143" s="31">
        <v>1</v>
      </c>
      <c r="J143" s="7">
        <f t="shared" si="4"/>
        <v>1609</v>
      </c>
    </row>
    <row r="144" spans="1:10" x14ac:dyDescent="0.2">
      <c r="A144" s="23" t="s">
        <v>482</v>
      </c>
      <c r="B144" s="23" t="s">
        <v>193</v>
      </c>
      <c r="C144" s="23" t="s">
        <v>350</v>
      </c>
      <c r="D144" s="23" t="s">
        <v>12</v>
      </c>
      <c r="E144" s="23" t="s">
        <v>338</v>
      </c>
      <c r="F144" s="26">
        <v>682</v>
      </c>
      <c r="G144" s="26">
        <v>1536</v>
      </c>
      <c r="H144" s="26">
        <v>12</v>
      </c>
      <c r="I144" s="31">
        <v>1</v>
      </c>
      <c r="J144" s="7">
        <f t="shared" si="4"/>
        <v>866</v>
      </c>
    </row>
    <row r="145" spans="1:10" x14ac:dyDescent="0.2">
      <c r="A145" s="23" t="s">
        <v>483</v>
      </c>
      <c r="B145" s="23" t="s">
        <v>193</v>
      </c>
      <c r="C145" s="23" t="s">
        <v>350</v>
      </c>
      <c r="D145" s="23" t="s">
        <v>12</v>
      </c>
      <c r="E145" s="23" t="s">
        <v>338</v>
      </c>
      <c r="F145" s="26">
        <v>602</v>
      </c>
      <c r="G145" s="26">
        <v>1882</v>
      </c>
      <c r="H145" s="26">
        <v>25</v>
      </c>
      <c r="I145" s="31">
        <v>1</v>
      </c>
      <c r="J145" s="7">
        <f t="shared" si="4"/>
        <v>1305</v>
      </c>
    </row>
    <row r="146" spans="1:10" x14ac:dyDescent="0.2">
      <c r="A146" s="23" t="s">
        <v>484</v>
      </c>
      <c r="B146" s="23" t="s">
        <v>312</v>
      </c>
      <c r="C146" s="23" t="s">
        <v>335</v>
      </c>
      <c r="D146" s="23" t="s">
        <v>12</v>
      </c>
      <c r="E146" s="23" t="s">
        <v>351</v>
      </c>
      <c r="F146" s="26">
        <v>222</v>
      </c>
      <c r="G146" s="26">
        <v>575</v>
      </c>
      <c r="H146" s="26">
        <v>161</v>
      </c>
      <c r="I146" s="31">
        <v>1</v>
      </c>
      <c r="J146" s="7">
        <f t="shared" si="4"/>
        <v>514</v>
      </c>
    </row>
    <row r="147" spans="1:10" x14ac:dyDescent="0.2">
      <c r="A147" s="23" t="s">
        <v>485</v>
      </c>
      <c r="B147" s="23" t="s">
        <v>312</v>
      </c>
      <c r="C147" s="23" t="s">
        <v>335</v>
      </c>
      <c r="D147" s="23" t="s">
        <v>12</v>
      </c>
      <c r="E147" s="23" t="s">
        <v>344</v>
      </c>
      <c r="F147" s="26">
        <v>993</v>
      </c>
      <c r="G147" s="26">
        <v>1941</v>
      </c>
      <c r="H147" s="26">
        <v>227</v>
      </c>
      <c r="I147" s="31">
        <v>1</v>
      </c>
      <c r="J147" s="7">
        <f t="shared" si="4"/>
        <v>1175</v>
      </c>
    </row>
    <row r="148" spans="1:10" x14ac:dyDescent="0.2">
      <c r="A148" s="23" t="s">
        <v>486</v>
      </c>
      <c r="B148" s="23" t="s">
        <v>314</v>
      </c>
      <c r="C148" s="23" t="s">
        <v>335</v>
      </c>
      <c r="D148" s="23" t="s">
        <v>13</v>
      </c>
      <c r="E148" s="23" t="s">
        <v>351</v>
      </c>
      <c r="F148" s="26">
        <v>1117</v>
      </c>
      <c r="G148" s="26">
        <v>2437</v>
      </c>
      <c r="H148" s="26">
        <v>391</v>
      </c>
      <c r="I148" s="31">
        <v>1</v>
      </c>
      <c r="J148" s="7">
        <f t="shared" si="4"/>
        <v>1711</v>
      </c>
    </row>
    <row r="149" spans="1:10" x14ac:dyDescent="0.2">
      <c r="A149" s="23" t="s">
        <v>487</v>
      </c>
      <c r="B149" s="23" t="s">
        <v>314</v>
      </c>
      <c r="C149" s="23" t="s">
        <v>335</v>
      </c>
      <c r="D149" s="23" t="s">
        <v>13</v>
      </c>
      <c r="E149" s="23" t="s">
        <v>336</v>
      </c>
      <c r="F149" s="26">
        <v>363</v>
      </c>
      <c r="G149" s="26">
        <v>843</v>
      </c>
      <c r="H149" s="26">
        <v>382</v>
      </c>
      <c r="I149" s="31">
        <v>1</v>
      </c>
      <c r="J149" s="7">
        <f t="shared" si="4"/>
        <v>862</v>
      </c>
    </row>
    <row r="150" spans="1:10" x14ac:dyDescent="0.2">
      <c r="A150" s="23" t="s">
        <v>488</v>
      </c>
      <c r="B150" s="23" t="s">
        <v>316</v>
      </c>
      <c r="C150" s="23" t="s">
        <v>335</v>
      </c>
      <c r="D150" s="23" t="s">
        <v>13</v>
      </c>
      <c r="E150" s="23" t="s">
        <v>351</v>
      </c>
      <c r="F150" s="26">
        <v>492</v>
      </c>
      <c r="G150" s="26">
        <v>1279</v>
      </c>
      <c r="H150" s="26">
        <v>226</v>
      </c>
      <c r="I150" s="31">
        <v>1</v>
      </c>
      <c r="J150" s="7">
        <f t="shared" si="4"/>
        <v>1013</v>
      </c>
    </row>
    <row r="151" spans="1:10" x14ac:dyDescent="0.2">
      <c r="A151" s="23" t="s">
        <v>489</v>
      </c>
      <c r="B151" s="23" t="s">
        <v>316</v>
      </c>
      <c r="C151" s="23" t="s">
        <v>335</v>
      </c>
      <c r="D151" s="23" t="s">
        <v>13</v>
      </c>
      <c r="E151" s="23" t="s">
        <v>357</v>
      </c>
      <c r="F151" s="26">
        <v>855</v>
      </c>
      <c r="G151" s="26">
        <v>1743</v>
      </c>
      <c r="H151" s="26">
        <v>112</v>
      </c>
      <c r="I151" s="31">
        <v>1</v>
      </c>
      <c r="J151" s="7">
        <f t="shared" si="4"/>
        <v>1000</v>
      </c>
    </row>
    <row r="152" spans="1:10" x14ac:dyDescent="0.2">
      <c r="A152" s="23" t="s">
        <v>490</v>
      </c>
      <c r="B152" s="23" t="s">
        <v>197</v>
      </c>
      <c r="C152" s="23" t="s">
        <v>350</v>
      </c>
      <c r="D152" s="23" t="s">
        <v>13</v>
      </c>
      <c r="E152" s="23" t="s">
        <v>357</v>
      </c>
      <c r="F152" s="26">
        <v>1025</v>
      </c>
      <c r="G152" s="26">
        <v>2387</v>
      </c>
      <c r="H152" s="26">
        <v>139</v>
      </c>
      <c r="I152" s="31">
        <v>1</v>
      </c>
      <c r="J152" s="7">
        <f t="shared" si="4"/>
        <v>1501</v>
      </c>
    </row>
    <row r="153" spans="1:10" x14ac:dyDescent="0.2">
      <c r="A153" s="23" t="s">
        <v>491</v>
      </c>
      <c r="B153" s="23" t="s">
        <v>197</v>
      </c>
      <c r="C153" s="23" t="s">
        <v>350</v>
      </c>
      <c r="D153" s="23" t="s">
        <v>13</v>
      </c>
      <c r="E153" s="23" t="s">
        <v>340</v>
      </c>
      <c r="F153" s="26">
        <v>230</v>
      </c>
      <c r="G153" s="26">
        <v>718</v>
      </c>
      <c r="H153" s="26">
        <v>585</v>
      </c>
      <c r="I153" s="31">
        <v>1</v>
      </c>
      <c r="J153" s="7">
        <f t="shared" si="4"/>
        <v>1073</v>
      </c>
    </row>
    <row r="156" spans="1:10" ht="16" x14ac:dyDescent="0.2">
      <c r="A156" s="28" t="s">
        <v>492</v>
      </c>
    </row>
    <row r="157" spans="1:10" x14ac:dyDescent="0.2">
      <c r="A157" s="1" t="s">
        <v>81</v>
      </c>
      <c r="B157" s="1" t="s">
        <v>493</v>
      </c>
      <c r="C157" s="1" t="s">
        <v>494</v>
      </c>
      <c r="D157" s="1" t="s">
        <v>495</v>
      </c>
      <c r="E157" s="1" t="s">
        <v>496</v>
      </c>
      <c r="F157" s="1" t="s">
        <v>497</v>
      </c>
      <c r="G157" s="1" t="s">
        <v>498</v>
      </c>
    </row>
    <row r="158" spans="1:10" x14ac:dyDescent="0.2">
      <c r="A158" s="2" t="s">
        <v>2</v>
      </c>
      <c r="B158" s="7">
        <f t="shared" ref="B158:B169" si="5">SUMIFS($J$4:$J$153,$D$4:$D$153,A158)</f>
        <v>15810</v>
      </c>
      <c r="C158" s="20">
        <f t="shared" ref="C158:C169" si="6">COUNTIFS(NV_Month,A158)+COUNTIFS(UV_Month,A158)</f>
        <v>10</v>
      </c>
      <c r="D158" s="7">
        <f t="shared" ref="D158:D169" si="7">IFERROR(B158/C158,0)</f>
        <v>1581</v>
      </c>
      <c r="E158" s="3">
        <f t="shared" ref="E158:E169" si="8">FI_PVR_Target</f>
        <v>1600</v>
      </c>
      <c r="F158" s="7">
        <f t="shared" ref="F158:F169" si="9">D158-E158</f>
        <v>-19</v>
      </c>
      <c r="G158" s="6">
        <f t="shared" ref="G158:G169" si="10">IFERROR(D158/E158,0)</f>
        <v>0.98812500000000003</v>
      </c>
    </row>
    <row r="159" spans="1:10" x14ac:dyDescent="0.2">
      <c r="A159" s="2" t="s">
        <v>3</v>
      </c>
      <c r="B159" s="7">
        <f t="shared" si="5"/>
        <v>10467</v>
      </c>
      <c r="C159" s="20">
        <f t="shared" si="6"/>
        <v>9</v>
      </c>
      <c r="D159" s="7">
        <f t="shared" si="7"/>
        <v>1163</v>
      </c>
      <c r="E159" s="3">
        <f t="shared" si="8"/>
        <v>1600</v>
      </c>
      <c r="F159" s="7">
        <f t="shared" si="9"/>
        <v>-437</v>
      </c>
      <c r="G159" s="6">
        <f t="shared" si="10"/>
        <v>0.72687500000000005</v>
      </c>
    </row>
    <row r="160" spans="1:10" x14ac:dyDescent="0.2">
      <c r="A160" s="2" t="s">
        <v>4</v>
      </c>
      <c r="B160" s="7">
        <f t="shared" si="5"/>
        <v>5503</v>
      </c>
      <c r="C160" s="20">
        <f t="shared" si="6"/>
        <v>5</v>
      </c>
      <c r="D160" s="7">
        <f t="shared" si="7"/>
        <v>1100.5999999999999</v>
      </c>
      <c r="E160" s="3">
        <f t="shared" si="8"/>
        <v>1600</v>
      </c>
      <c r="F160" s="7">
        <f t="shared" si="9"/>
        <v>-499.40000000000009</v>
      </c>
      <c r="G160" s="6">
        <f t="shared" si="10"/>
        <v>0.6878749999999999</v>
      </c>
    </row>
    <row r="161" spans="1:7" x14ac:dyDescent="0.2">
      <c r="A161" s="2" t="s">
        <v>5</v>
      </c>
      <c r="B161" s="7">
        <f t="shared" si="5"/>
        <v>23206</v>
      </c>
      <c r="C161" s="20">
        <f t="shared" si="6"/>
        <v>13</v>
      </c>
      <c r="D161" s="7">
        <f t="shared" si="7"/>
        <v>1785.0769230769231</v>
      </c>
      <c r="E161" s="3">
        <f t="shared" si="8"/>
        <v>1600</v>
      </c>
      <c r="F161" s="7">
        <f t="shared" si="9"/>
        <v>185.07692307692309</v>
      </c>
      <c r="G161" s="6">
        <f t="shared" si="10"/>
        <v>1.1156730769230769</v>
      </c>
    </row>
    <row r="162" spans="1:7" x14ac:dyDescent="0.2">
      <c r="A162" s="2" t="s">
        <v>6</v>
      </c>
      <c r="B162" s="7">
        <f t="shared" si="5"/>
        <v>15493</v>
      </c>
      <c r="C162" s="20">
        <f t="shared" si="6"/>
        <v>8</v>
      </c>
      <c r="D162" s="7">
        <f t="shared" si="7"/>
        <v>1936.625</v>
      </c>
      <c r="E162" s="3">
        <f t="shared" si="8"/>
        <v>1600</v>
      </c>
      <c r="F162" s="7">
        <f t="shared" si="9"/>
        <v>336.625</v>
      </c>
      <c r="G162" s="6">
        <f t="shared" si="10"/>
        <v>1.2103906250000001</v>
      </c>
    </row>
    <row r="163" spans="1:7" x14ac:dyDescent="0.2">
      <c r="A163" s="2" t="s">
        <v>7</v>
      </c>
      <c r="B163" s="7">
        <f t="shared" si="5"/>
        <v>17787</v>
      </c>
      <c r="C163" s="20">
        <f t="shared" si="6"/>
        <v>9</v>
      </c>
      <c r="D163" s="7">
        <f t="shared" si="7"/>
        <v>1976.3333333333333</v>
      </c>
      <c r="E163" s="3">
        <f t="shared" si="8"/>
        <v>1600</v>
      </c>
      <c r="F163" s="7">
        <f t="shared" si="9"/>
        <v>376.33333333333326</v>
      </c>
      <c r="G163" s="6">
        <f t="shared" si="10"/>
        <v>1.2352083333333332</v>
      </c>
    </row>
    <row r="164" spans="1:7" x14ac:dyDescent="0.2">
      <c r="A164" s="2" t="s">
        <v>8</v>
      </c>
      <c r="B164" s="7">
        <f t="shared" si="5"/>
        <v>12583</v>
      </c>
      <c r="C164" s="20">
        <f t="shared" si="6"/>
        <v>8</v>
      </c>
      <c r="D164" s="7">
        <f t="shared" si="7"/>
        <v>1572.875</v>
      </c>
      <c r="E164" s="3">
        <f t="shared" si="8"/>
        <v>1600</v>
      </c>
      <c r="F164" s="7">
        <f t="shared" si="9"/>
        <v>-27.125</v>
      </c>
      <c r="G164" s="6">
        <f t="shared" si="10"/>
        <v>0.98304687499999999</v>
      </c>
    </row>
    <row r="165" spans="1:7" x14ac:dyDescent="0.2">
      <c r="A165" s="2" t="s">
        <v>9</v>
      </c>
      <c r="B165" s="7">
        <f t="shared" si="5"/>
        <v>5448</v>
      </c>
      <c r="C165" s="20">
        <f t="shared" si="6"/>
        <v>4</v>
      </c>
      <c r="D165" s="7">
        <f t="shared" si="7"/>
        <v>1362</v>
      </c>
      <c r="E165" s="3">
        <f t="shared" si="8"/>
        <v>1600</v>
      </c>
      <c r="F165" s="7">
        <f t="shared" si="9"/>
        <v>-238</v>
      </c>
      <c r="G165" s="6">
        <f t="shared" si="10"/>
        <v>0.85124999999999995</v>
      </c>
    </row>
    <row r="166" spans="1:7" x14ac:dyDescent="0.2">
      <c r="A166" s="2" t="s">
        <v>10</v>
      </c>
      <c r="B166" s="7">
        <f t="shared" si="5"/>
        <v>14403</v>
      </c>
      <c r="C166" s="20">
        <f t="shared" si="6"/>
        <v>8</v>
      </c>
      <c r="D166" s="7">
        <f t="shared" si="7"/>
        <v>1800.375</v>
      </c>
      <c r="E166" s="3">
        <f t="shared" si="8"/>
        <v>1600</v>
      </c>
      <c r="F166" s="7">
        <f t="shared" si="9"/>
        <v>200.375</v>
      </c>
      <c r="G166" s="6">
        <f t="shared" si="10"/>
        <v>1.125234375</v>
      </c>
    </row>
    <row r="167" spans="1:7" x14ac:dyDescent="0.2">
      <c r="A167" s="2" t="s">
        <v>11</v>
      </c>
      <c r="B167" s="7">
        <f t="shared" si="5"/>
        <v>15411</v>
      </c>
      <c r="C167" s="20">
        <f t="shared" si="6"/>
        <v>6</v>
      </c>
      <c r="D167" s="7">
        <f t="shared" si="7"/>
        <v>2568.5</v>
      </c>
      <c r="E167" s="3">
        <f t="shared" si="8"/>
        <v>1600</v>
      </c>
      <c r="F167" s="7">
        <f t="shared" si="9"/>
        <v>968.5</v>
      </c>
      <c r="G167" s="6">
        <f t="shared" si="10"/>
        <v>1.6053124999999999</v>
      </c>
    </row>
    <row r="168" spans="1:7" x14ac:dyDescent="0.2">
      <c r="A168" s="2" t="s">
        <v>12</v>
      </c>
      <c r="B168" s="7">
        <f t="shared" si="5"/>
        <v>35653</v>
      </c>
      <c r="C168" s="20">
        <f t="shared" si="6"/>
        <v>16</v>
      </c>
      <c r="D168" s="7">
        <f t="shared" si="7"/>
        <v>2228.3125</v>
      </c>
      <c r="E168" s="3">
        <f t="shared" si="8"/>
        <v>1600</v>
      </c>
      <c r="F168" s="7">
        <f t="shared" si="9"/>
        <v>628.3125</v>
      </c>
      <c r="G168" s="6">
        <f t="shared" si="10"/>
        <v>1.3926953124999999</v>
      </c>
    </row>
    <row r="169" spans="1:7" x14ac:dyDescent="0.2">
      <c r="A169" s="2" t="s">
        <v>13</v>
      </c>
      <c r="B169" s="7">
        <f t="shared" si="5"/>
        <v>7160</v>
      </c>
      <c r="C169" s="20">
        <f t="shared" si="6"/>
        <v>4</v>
      </c>
      <c r="D169" s="7">
        <f t="shared" si="7"/>
        <v>1790</v>
      </c>
      <c r="E169" s="3">
        <f t="shared" si="8"/>
        <v>1600</v>
      </c>
      <c r="F169" s="7">
        <f t="shared" si="9"/>
        <v>190</v>
      </c>
      <c r="G169" s="6">
        <f t="shared" si="10"/>
        <v>1.1187499999999999</v>
      </c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29"/>
  <sheetViews>
    <sheetView workbookViewId="0">
      <pane ySplit="3" topLeftCell="A4" activePane="bottomLeft" state="frozen"/>
      <selection pane="bottomLeft" activeCell="K39" sqref="K39"/>
    </sheetView>
  </sheetViews>
  <sheetFormatPr baseColWidth="10" defaultColWidth="8.83203125" defaultRowHeight="15" x14ac:dyDescent="0.2"/>
  <cols>
    <col min="1" max="1" width="10" customWidth="1"/>
    <col min="2" max="2" width="12" customWidth="1"/>
    <col min="3" max="3" width="8" customWidth="1"/>
    <col min="4" max="12" width="14" customWidth="1"/>
  </cols>
  <sheetData>
    <row r="1" spans="1:10" ht="18" x14ac:dyDescent="0.2">
      <c r="A1" s="44" t="s">
        <v>499</v>
      </c>
      <c r="B1" s="45"/>
      <c r="C1" s="45"/>
      <c r="D1" s="45"/>
      <c r="E1" s="45"/>
      <c r="F1" s="45"/>
      <c r="G1" s="45"/>
      <c r="H1" s="45"/>
      <c r="I1" s="45"/>
      <c r="J1" s="45"/>
    </row>
    <row r="3" spans="1:10" x14ac:dyDescent="0.2">
      <c r="A3" s="1" t="s">
        <v>500</v>
      </c>
      <c r="B3" s="1" t="s">
        <v>501</v>
      </c>
      <c r="C3" s="1" t="s">
        <v>81</v>
      </c>
      <c r="D3" s="1" t="s">
        <v>502</v>
      </c>
      <c r="E3" s="1" t="s">
        <v>503</v>
      </c>
      <c r="F3" s="1" t="s">
        <v>504</v>
      </c>
      <c r="G3" s="1" t="s">
        <v>21</v>
      </c>
      <c r="H3" s="1" t="s">
        <v>505</v>
      </c>
      <c r="I3" s="1" t="s">
        <v>506</v>
      </c>
      <c r="J3" s="1" t="s">
        <v>205</v>
      </c>
    </row>
    <row r="4" spans="1:10" x14ac:dyDescent="0.2">
      <c r="A4" s="23" t="s">
        <v>507</v>
      </c>
      <c r="B4" s="24">
        <v>45662</v>
      </c>
      <c r="C4" s="25" t="str">
        <f t="shared" ref="C4:C35" si="0">TEXT(B4,"mmm")</f>
        <v>Jan</v>
      </c>
      <c r="D4" s="23" t="s">
        <v>508</v>
      </c>
      <c r="E4" s="26">
        <v>471</v>
      </c>
      <c r="F4" s="26">
        <v>198</v>
      </c>
      <c r="G4" s="26">
        <v>273</v>
      </c>
      <c r="H4" s="26">
        <v>169</v>
      </c>
      <c r="I4" s="7">
        <f t="shared" ref="I4:I35" si="1">E4+G4</f>
        <v>744</v>
      </c>
      <c r="J4" s="7">
        <f t="shared" ref="J4:J35" si="2">(E4-F4)+(G4-H4)</f>
        <v>377</v>
      </c>
    </row>
    <row r="5" spans="1:10" x14ac:dyDescent="0.2">
      <c r="A5" s="23" t="s">
        <v>509</v>
      </c>
      <c r="B5" s="24">
        <v>45665</v>
      </c>
      <c r="C5" s="25" t="str">
        <f t="shared" si="0"/>
        <v>Jan</v>
      </c>
      <c r="D5" s="23" t="s">
        <v>510</v>
      </c>
      <c r="E5" s="26">
        <v>183</v>
      </c>
      <c r="F5" s="26">
        <v>71</v>
      </c>
      <c r="G5" s="26">
        <v>507</v>
      </c>
      <c r="H5" s="26">
        <v>324</v>
      </c>
      <c r="I5" s="7">
        <f t="shared" si="1"/>
        <v>690</v>
      </c>
      <c r="J5" s="7">
        <f t="shared" si="2"/>
        <v>295</v>
      </c>
    </row>
    <row r="6" spans="1:10" x14ac:dyDescent="0.2">
      <c r="A6" s="23" t="s">
        <v>511</v>
      </c>
      <c r="B6" s="24">
        <v>45669</v>
      </c>
      <c r="C6" s="25" t="str">
        <f t="shared" si="0"/>
        <v>Jan</v>
      </c>
      <c r="D6" s="23" t="s">
        <v>510</v>
      </c>
      <c r="E6" s="26">
        <v>299</v>
      </c>
      <c r="F6" s="26">
        <v>105</v>
      </c>
      <c r="G6" s="26">
        <v>547</v>
      </c>
      <c r="H6" s="26">
        <v>316</v>
      </c>
      <c r="I6" s="7">
        <f t="shared" si="1"/>
        <v>846</v>
      </c>
      <c r="J6" s="7">
        <f t="shared" si="2"/>
        <v>425</v>
      </c>
    </row>
    <row r="7" spans="1:10" x14ac:dyDescent="0.2">
      <c r="A7" s="23" t="s">
        <v>512</v>
      </c>
      <c r="B7" s="24">
        <v>45671</v>
      </c>
      <c r="C7" s="25" t="str">
        <f t="shared" si="0"/>
        <v>Jan</v>
      </c>
      <c r="D7" s="23" t="s">
        <v>510</v>
      </c>
      <c r="E7" s="26">
        <v>816</v>
      </c>
      <c r="F7" s="26">
        <v>273</v>
      </c>
      <c r="G7" s="26">
        <v>504</v>
      </c>
      <c r="H7" s="26">
        <v>323</v>
      </c>
      <c r="I7" s="7">
        <f t="shared" si="1"/>
        <v>1320</v>
      </c>
      <c r="J7" s="7">
        <f t="shared" si="2"/>
        <v>724</v>
      </c>
    </row>
    <row r="8" spans="1:10" x14ac:dyDescent="0.2">
      <c r="A8" s="23" t="s">
        <v>513</v>
      </c>
      <c r="B8" s="24">
        <v>45672</v>
      </c>
      <c r="C8" s="25" t="str">
        <f t="shared" si="0"/>
        <v>Jan</v>
      </c>
      <c r="D8" s="23" t="s">
        <v>510</v>
      </c>
      <c r="E8" s="26">
        <v>505</v>
      </c>
      <c r="F8" s="26">
        <v>186</v>
      </c>
      <c r="G8" s="26">
        <v>109</v>
      </c>
      <c r="H8" s="26">
        <v>69</v>
      </c>
      <c r="I8" s="7">
        <f t="shared" si="1"/>
        <v>614</v>
      </c>
      <c r="J8" s="7">
        <f t="shared" si="2"/>
        <v>359</v>
      </c>
    </row>
    <row r="9" spans="1:10" x14ac:dyDescent="0.2">
      <c r="A9" s="23" t="s">
        <v>514</v>
      </c>
      <c r="B9" s="24">
        <v>45675</v>
      </c>
      <c r="C9" s="25" t="str">
        <f t="shared" si="0"/>
        <v>Jan</v>
      </c>
      <c r="D9" s="23" t="s">
        <v>508</v>
      </c>
      <c r="E9" s="26">
        <v>66</v>
      </c>
      <c r="F9" s="26">
        <v>23</v>
      </c>
      <c r="G9" s="26">
        <v>180</v>
      </c>
      <c r="H9" s="26">
        <v>122</v>
      </c>
      <c r="I9" s="7">
        <f t="shared" si="1"/>
        <v>246</v>
      </c>
      <c r="J9" s="7">
        <f t="shared" si="2"/>
        <v>101</v>
      </c>
    </row>
    <row r="10" spans="1:10" x14ac:dyDescent="0.2">
      <c r="A10" s="23" t="s">
        <v>515</v>
      </c>
      <c r="B10" s="24">
        <v>45676</v>
      </c>
      <c r="C10" s="25" t="str">
        <f t="shared" si="0"/>
        <v>Jan</v>
      </c>
      <c r="D10" s="23" t="s">
        <v>516</v>
      </c>
      <c r="E10" s="26">
        <v>104</v>
      </c>
      <c r="F10" s="26">
        <v>41</v>
      </c>
      <c r="G10" s="26">
        <v>161</v>
      </c>
      <c r="H10" s="26">
        <v>127</v>
      </c>
      <c r="I10" s="7">
        <f t="shared" si="1"/>
        <v>265</v>
      </c>
      <c r="J10" s="7">
        <f t="shared" si="2"/>
        <v>97</v>
      </c>
    </row>
    <row r="11" spans="1:10" x14ac:dyDescent="0.2">
      <c r="A11" s="23" t="s">
        <v>517</v>
      </c>
      <c r="B11" s="24">
        <v>45684</v>
      </c>
      <c r="C11" s="25" t="str">
        <f t="shared" si="0"/>
        <v>Jan</v>
      </c>
      <c r="D11" s="23" t="s">
        <v>510</v>
      </c>
      <c r="E11" s="26">
        <v>236</v>
      </c>
      <c r="F11" s="26">
        <v>81</v>
      </c>
      <c r="G11" s="26">
        <v>215</v>
      </c>
      <c r="H11" s="26">
        <v>128</v>
      </c>
      <c r="I11" s="7">
        <f t="shared" si="1"/>
        <v>451</v>
      </c>
      <c r="J11" s="7">
        <f t="shared" si="2"/>
        <v>242</v>
      </c>
    </row>
    <row r="12" spans="1:10" x14ac:dyDescent="0.2">
      <c r="A12" s="23" t="s">
        <v>518</v>
      </c>
      <c r="B12" s="24">
        <v>45685</v>
      </c>
      <c r="C12" s="25" t="str">
        <f t="shared" si="0"/>
        <v>Jan</v>
      </c>
      <c r="D12" s="23" t="s">
        <v>508</v>
      </c>
      <c r="E12" s="26">
        <v>199</v>
      </c>
      <c r="F12" s="26">
        <v>73</v>
      </c>
      <c r="G12" s="26">
        <v>228</v>
      </c>
      <c r="H12" s="26">
        <v>151</v>
      </c>
      <c r="I12" s="7">
        <f t="shared" si="1"/>
        <v>427</v>
      </c>
      <c r="J12" s="7">
        <f t="shared" si="2"/>
        <v>203</v>
      </c>
    </row>
    <row r="13" spans="1:10" x14ac:dyDescent="0.2">
      <c r="A13" s="23" t="s">
        <v>519</v>
      </c>
      <c r="B13" s="24">
        <v>45685</v>
      </c>
      <c r="C13" s="25" t="str">
        <f t="shared" si="0"/>
        <v>Jan</v>
      </c>
      <c r="D13" s="23" t="s">
        <v>510</v>
      </c>
      <c r="E13" s="26">
        <v>217</v>
      </c>
      <c r="F13" s="26">
        <v>93</v>
      </c>
      <c r="G13" s="26">
        <v>424</v>
      </c>
      <c r="H13" s="26">
        <v>281</v>
      </c>
      <c r="I13" s="7">
        <f t="shared" si="1"/>
        <v>641</v>
      </c>
      <c r="J13" s="7">
        <f t="shared" si="2"/>
        <v>267</v>
      </c>
    </row>
    <row r="14" spans="1:10" x14ac:dyDescent="0.2">
      <c r="A14" s="23" t="s">
        <v>520</v>
      </c>
      <c r="B14" s="24">
        <v>45690</v>
      </c>
      <c r="C14" s="25" t="str">
        <f t="shared" si="0"/>
        <v>Feb</v>
      </c>
      <c r="D14" s="23" t="s">
        <v>510</v>
      </c>
      <c r="E14" s="26">
        <v>734</v>
      </c>
      <c r="F14" s="26">
        <v>307</v>
      </c>
      <c r="G14" s="26">
        <v>518</v>
      </c>
      <c r="H14" s="26">
        <v>289</v>
      </c>
      <c r="I14" s="7">
        <f t="shared" si="1"/>
        <v>1252</v>
      </c>
      <c r="J14" s="7">
        <f t="shared" si="2"/>
        <v>656</v>
      </c>
    </row>
    <row r="15" spans="1:10" x14ac:dyDescent="0.2">
      <c r="A15" s="23" t="s">
        <v>521</v>
      </c>
      <c r="B15" s="24">
        <v>45691</v>
      </c>
      <c r="C15" s="25" t="str">
        <f t="shared" si="0"/>
        <v>Feb</v>
      </c>
      <c r="D15" s="23" t="s">
        <v>510</v>
      </c>
      <c r="E15" s="26">
        <v>842</v>
      </c>
      <c r="F15" s="26">
        <v>345</v>
      </c>
      <c r="G15" s="26">
        <v>183</v>
      </c>
      <c r="H15" s="26">
        <v>115</v>
      </c>
      <c r="I15" s="7">
        <f t="shared" si="1"/>
        <v>1025</v>
      </c>
      <c r="J15" s="7">
        <f t="shared" si="2"/>
        <v>565</v>
      </c>
    </row>
    <row r="16" spans="1:10" x14ac:dyDescent="0.2">
      <c r="A16" s="23" t="s">
        <v>522</v>
      </c>
      <c r="B16" s="24">
        <v>45693</v>
      </c>
      <c r="C16" s="25" t="str">
        <f t="shared" si="0"/>
        <v>Feb</v>
      </c>
      <c r="D16" s="23" t="s">
        <v>510</v>
      </c>
      <c r="E16" s="26">
        <v>728</v>
      </c>
      <c r="F16" s="26">
        <v>282</v>
      </c>
      <c r="G16" s="26">
        <v>382</v>
      </c>
      <c r="H16" s="26">
        <v>231</v>
      </c>
      <c r="I16" s="7">
        <f t="shared" si="1"/>
        <v>1110</v>
      </c>
      <c r="J16" s="7">
        <f t="shared" si="2"/>
        <v>597</v>
      </c>
    </row>
    <row r="17" spans="1:10" x14ac:dyDescent="0.2">
      <c r="A17" s="23" t="s">
        <v>523</v>
      </c>
      <c r="B17" s="24">
        <v>45693</v>
      </c>
      <c r="C17" s="25" t="str">
        <f t="shared" si="0"/>
        <v>Feb</v>
      </c>
      <c r="D17" s="23" t="s">
        <v>516</v>
      </c>
      <c r="E17" s="26">
        <v>67</v>
      </c>
      <c r="F17" s="26">
        <v>31</v>
      </c>
      <c r="G17" s="26">
        <v>194</v>
      </c>
      <c r="H17" s="26">
        <v>141</v>
      </c>
      <c r="I17" s="7">
        <f t="shared" si="1"/>
        <v>261</v>
      </c>
      <c r="J17" s="7">
        <f t="shared" si="2"/>
        <v>89</v>
      </c>
    </row>
    <row r="18" spans="1:10" x14ac:dyDescent="0.2">
      <c r="A18" s="23" t="s">
        <v>524</v>
      </c>
      <c r="B18" s="24">
        <v>45693</v>
      </c>
      <c r="C18" s="25" t="str">
        <f t="shared" si="0"/>
        <v>Feb</v>
      </c>
      <c r="D18" s="23" t="s">
        <v>516</v>
      </c>
      <c r="E18" s="26">
        <v>231</v>
      </c>
      <c r="F18" s="26">
        <v>105</v>
      </c>
      <c r="G18" s="26">
        <v>106</v>
      </c>
      <c r="H18" s="26">
        <v>77</v>
      </c>
      <c r="I18" s="7">
        <f t="shared" si="1"/>
        <v>337</v>
      </c>
      <c r="J18" s="7">
        <f t="shared" si="2"/>
        <v>155</v>
      </c>
    </row>
    <row r="19" spans="1:10" x14ac:dyDescent="0.2">
      <c r="A19" s="23" t="s">
        <v>525</v>
      </c>
      <c r="B19" s="24">
        <v>45695</v>
      </c>
      <c r="C19" s="25" t="str">
        <f t="shared" si="0"/>
        <v>Feb</v>
      </c>
      <c r="D19" s="23" t="s">
        <v>508</v>
      </c>
      <c r="E19" s="26">
        <v>181</v>
      </c>
      <c r="F19" s="26">
        <v>84</v>
      </c>
      <c r="G19" s="26">
        <v>53</v>
      </c>
      <c r="H19" s="26">
        <v>34</v>
      </c>
      <c r="I19" s="7">
        <f t="shared" si="1"/>
        <v>234</v>
      </c>
      <c r="J19" s="7">
        <f t="shared" si="2"/>
        <v>116</v>
      </c>
    </row>
    <row r="20" spans="1:10" x14ac:dyDescent="0.2">
      <c r="A20" s="23" t="s">
        <v>526</v>
      </c>
      <c r="B20" s="24">
        <v>45699</v>
      </c>
      <c r="C20" s="25" t="str">
        <f t="shared" si="0"/>
        <v>Feb</v>
      </c>
      <c r="D20" s="23" t="s">
        <v>508</v>
      </c>
      <c r="E20" s="26">
        <v>216</v>
      </c>
      <c r="F20" s="26">
        <v>90</v>
      </c>
      <c r="G20" s="26">
        <v>258</v>
      </c>
      <c r="H20" s="26">
        <v>161</v>
      </c>
      <c r="I20" s="7">
        <f t="shared" si="1"/>
        <v>474</v>
      </c>
      <c r="J20" s="7">
        <f t="shared" si="2"/>
        <v>223</v>
      </c>
    </row>
    <row r="21" spans="1:10" x14ac:dyDescent="0.2">
      <c r="A21" s="23" t="s">
        <v>527</v>
      </c>
      <c r="B21" s="24">
        <v>45699</v>
      </c>
      <c r="C21" s="25" t="str">
        <f t="shared" si="0"/>
        <v>Feb</v>
      </c>
      <c r="D21" s="23" t="s">
        <v>510</v>
      </c>
      <c r="E21" s="26">
        <v>549</v>
      </c>
      <c r="F21" s="26">
        <v>218</v>
      </c>
      <c r="G21" s="26">
        <v>240</v>
      </c>
      <c r="H21" s="26">
        <v>132</v>
      </c>
      <c r="I21" s="7">
        <f t="shared" si="1"/>
        <v>789</v>
      </c>
      <c r="J21" s="7">
        <f t="shared" si="2"/>
        <v>439</v>
      </c>
    </row>
    <row r="22" spans="1:10" x14ac:dyDescent="0.2">
      <c r="A22" s="23" t="s">
        <v>528</v>
      </c>
      <c r="B22" s="24">
        <v>45700</v>
      </c>
      <c r="C22" s="25" t="str">
        <f t="shared" si="0"/>
        <v>Feb</v>
      </c>
      <c r="D22" s="23" t="s">
        <v>510</v>
      </c>
      <c r="E22" s="26">
        <v>406</v>
      </c>
      <c r="F22" s="26">
        <v>178</v>
      </c>
      <c r="G22" s="26">
        <v>393</v>
      </c>
      <c r="H22" s="26">
        <v>262</v>
      </c>
      <c r="I22" s="7">
        <f t="shared" si="1"/>
        <v>799</v>
      </c>
      <c r="J22" s="7">
        <f t="shared" si="2"/>
        <v>359</v>
      </c>
    </row>
    <row r="23" spans="1:10" x14ac:dyDescent="0.2">
      <c r="A23" s="23" t="s">
        <v>529</v>
      </c>
      <c r="B23" s="24">
        <v>45701</v>
      </c>
      <c r="C23" s="25" t="str">
        <f t="shared" si="0"/>
        <v>Feb</v>
      </c>
      <c r="D23" s="23" t="s">
        <v>516</v>
      </c>
      <c r="E23" s="26">
        <v>51</v>
      </c>
      <c r="F23" s="26">
        <v>23</v>
      </c>
      <c r="G23" s="26">
        <v>137</v>
      </c>
      <c r="H23" s="26">
        <v>107</v>
      </c>
      <c r="I23" s="7">
        <f t="shared" si="1"/>
        <v>188</v>
      </c>
      <c r="J23" s="7">
        <f t="shared" si="2"/>
        <v>58</v>
      </c>
    </row>
    <row r="24" spans="1:10" x14ac:dyDescent="0.2">
      <c r="A24" s="23" t="s">
        <v>530</v>
      </c>
      <c r="B24" s="24">
        <v>45701</v>
      </c>
      <c r="C24" s="25" t="str">
        <f t="shared" si="0"/>
        <v>Feb</v>
      </c>
      <c r="D24" s="23" t="s">
        <v>516</v>
      </c>
      <c r="E24" s="26">
        <v>203</v>
      </c>
      <c r="F24" s="26">
        <v>87</v>
      </c>
      <c r="G24" s="26">
        <v>219</v>
      </c>
      <c r="H24" s="26">
        <v>147</v>
      </c>
      <c r="I24" s="7">
        <f t="shared" si="1"/>
        <v>422</v>
      </c>
      <c r="J24" s="7">
        <f t="shared" si="2"/>
        <v>188</v>
      </c>
    </row>
    <row r="25" spans="1:10" x14ac:dyDescent="0.2">
      <c r="A25" s="23" t="s">
        <v>531</v>
      </c>
      <c r="B25" s="24">
        <v>45701</v>
      </c>
      <c r="C25" s="25" t="str">
        <f t="shared" si="0"/>
        <v>Feb</v>
      </c>
      <c r="D25" s="23" t="s">
        <v>510</v>
      </c>
      <c r="E25" s="26">
        <v>862</v>
      </c>
      <c r="F25" s="26">
        <v>329</v>
      </c>
      <c r="G25" s="26">
        <v>688</v>
      </c>
      <c r="H25" s="26">
        <v>448</v>
      </c>
      <c r="I25" s="7">
        <f t="shared" si="1"/>
        <v>1550</v>
      </c>
      <c r="J25" s="7">
        <f t="shared" si="2"/>
        <v>773</v>
      </c>
    </row>
    <row r="26" spans="1:10" x14ac:dyDescent="0.2">
      <c r="A26" s="23" t="s">
        <v>532</v>
      </c>
      <c r="B26" s="24">
        <v>45702</v>
      </c>
      <c r="C26" s="25" t="str">
        <f t="shared" si="0"/>
        <v>Feb</v>
      </c>
      <c r="D26" s="23" t="s">
        <v>508</v>
      </c>
      <c r="E26" s="26">
        <v>481</v>
      </c>
      <c r="F26" s="26">
        <v>181</v>
      </c>
      <c r="G26" s="26">
        <v>190</v>
      </c>
      <c r="H26" s="26">
        <v>123</v>
      </c>
      <c r="I26" s="7">
        <f t="shared" si="1"/>
        <v>671</v>
      </c>
      <c r="J26" s="7">
        <f t="shared" si="2"/>
        <v>367</v>
      </c>
    </row>
    <row r="27" spans="1:10" x14ac:dyDescent="0.2">
      <c r="A27" s="23" t="s">
        <v>533</v>
      </c>
      <c r="B27" s="24">
        <v>45703</v>
      </c>
      <c r="C27" s="25" t="str">
        <f t="shared" si="0"/>
        <v>Feb</v>
      </c>
      <c r="D27" s="23" t="s">
        <v>510</v>
      </c>
      <c r="E27" s="26">
        <v>709</v>
      </c>
      <c r="F27" s="26">
        <v>217</v>
      </c>
      <c r="G27" s="26">
        <v>583</v>
      </c>
      <c r="H27" s="26">
        <v>347</v>
      </c>
      <c r="I27" s="7">
        <f t="shared" si="1"/>
        <v>1292</v>
      </c>
      <c r="J27" s="7">
        <f t="shared" si="2"/>
        <v>728</v>
      </c>
    </row>
    <row r="28" spans="1:10" x14ac:dyDescent="0.2">
      <c r="A28" s="23" t="s">
        <v>534</v>
      </c>
      <c r="B28" s="24">
        <v>45704</v>
      </c>
      <c r="C28" s="25" t="str">
        <f t="shared" si="0"/>
        <v>Feb</v>
      </c>
      <c r="D28" s="23" t="s">
        <v>510</v>
      </c>
      <c r="E28" s="26">
        <v>498</v>
      </c>
      <c r="F28" s="26">
        <v>162</v>
      </c>
      <c r="G28" s="26">
        <v>188</v>
      </c>
      <c r="H28" s="26">
        <v>124</v>
      </c>
      <c r="I28" s="7">
        <f t="shared" si="1"/>
        <v>686</v>
      </c>
      <c r="J28" s="7">
        <f t="shared" si="2"/>
        <v>400</v>
      </c>
    </row>
    <row r="29" spans="1:10" x14ac:dyDescent="0.2">
      <c r="A29" s="23" t="s">
        <v>535</v>
      </c>
      <c r="B29" s="24">
        <v>45706</v>
      </c>
      <c r="C29" s="25" t="str">
        <f t="shared" si="0"/>
        <v>Feb</v>
      </c>
      <c r="D29" s="23" t="s">
        <v>508</v>
      </c>
      <c r="E29" s="26">
        <v>205</v>
      </c>
      <c r="F29" s="26">
        <v>79</v>
      </c>
      <c r="G29" s="26">
        <v>376</v>
      </c>
      <c r="H29" s="26">
        <v>279</v>
      </c>
      <c r="I29" s="7">
        <f t="shared" si="1"/>
        <v>581</v>
      </c>
      <c r="J29" s="7">
        <f t="shared" si="2"/>
        <v>223</v>
      </c>
    </row>
    <row r="30" spans="1:10" x14ac:dyDescent="0.2">
      <c r="A30" s="23" t="s">
        <v>536</v>
      </c>
      <c r="B30" s="24">
        <v>45707</v>
      </c>
      <c r="C30" s="25" t="str">
        <f t="shared" si="0"/>
        <v>Feb</v>
      </c>
      <c r="D30" s="23" t="s">
        <v>510</v>
      </c>
      <c r="E30" s="26">
        <v>238</v>
      </c>
      <c r="F30" s="26">
        <v>94</v>
      </c>
      <c r="G30" s="26">
        <v>279</v>
      </c>
      <c r="H30" s="26">
        <v>188</v>
      </c>
      <c r="I30" s="7">
        <f t="shared" si="1"/>
        <v>517</v>
      </c>
      <c r="J30" s="7">
        <f t="shared" si="2"/>
        <v>235</v>
      </c>
    </row>
    <row r="31" spans="1:10" x14ac:dyDescent="0.2">
      <c r="A31" s="23" t="s">
        <v>537</v>
      </c>
      <c r="B31" s="24">
        <v>45708</v>
      </c>
      <c r="C31" s="25" t="str">
        <f t="shared" si="0"/>
        <v>Feb</v>
      </c>
      <c r="D31" s="23" t="s">
        <v>508</v>
      </c>
      <c r="E31" s="26">
        <v>256</v>
      </c>
      <c r="F31" s="26">
        <v>107</v>
      </c>
      <c r="G31" s="26">
        <v>323</v>
      </c>
      <c r="H31" s="26">
        <v>240</v>
      </c>
      <c r="I31" s="7">
        <f t="shared" si="1"/>
        <v>579</v>
      </c>
      <c r="J31" s="7">
        <f t="shared" si="2"/>
        <v>232</v>
      </c>
    </row>
    <row r="32" spans="1:10" x14ac:dyDescent="0.2">
      <c r="A32" s="23" t="s">
        <v>538</v>
      </c>
      <c r="B32" s="24">
        <v>45710</v>
      </c>
      <c r="C32" s="25" t="str">
        <f t="shared" si="0"/>
        <v>Feb</v>
      </c>
      <c r="D32" s="23" t="s">
        <v>510</v>
      </c>
      <c r="E32" s="26">
        <v>734</v>
      </c>
      <c r="F32" s="26">
        <v>285</v>
      </c>
      <c r="G32" s="26">
        <v>71</v>
      </c>
      <c r="H32" s="26">
        <v>39</v>
      </c>
      <c r="I32" s="7">
        <f t="shared" si="1"/>
        <v>805</v>
      </c>
      <c r="J32" s="7">
        <f t="shared" si="2"/>
        <v>481</v>
      </c>
    </row>
    <row r="33" spans="1:10" x14ac:dyDescent="0.2">
      <c r="A33" s="23" t="s">
        <v>539</v>
      </c>
      <c r="B33" s="24">
        <v>45715</v>
      </c>
      <c r="C33" s="25" t="str">
        <f t="shared" si="0"/>
        <v>Feb</v>
      </c>
      <c r="D33" s="23" t="s">
        <v>508</v>
      </c>
      <c r="E33" s="26">
        <v>451</v>
      </c>
      <c r="F33" s="26">
        <v>158</v>
      </c>
      <c r="G33" s="26">
        <v>110</v>
      </c>
      <c r="H33" s="26">
        <v>79</v>
      </c>
      <c r="I33" s="7">
        <f t="shared" si="1"/>
        <v>561</v>
      </c>
      <c r="J33" s="7">
        <f t="shared" si="2"/>
        <v>324</v>
      </c>
    </row>
    <row r="34" spans="1:10" x14ac:dyDescent="0.2">
      <c r="A34" s="23" t="s">
        <v>540</v>
      </c>
      <c r="B34" s="24">
        <v>45716</v>
      </c>
      <c r="C34" s="25" t="str">
        <f t="shared" si="0"/>
        <v>Feb</v>
      </c>
      <c r="D34" s="23" t="s">
        <v>508</v>
      </c>
      <c r="E34" s="26">
        <v>453</v>
      </c>
      <c r="F34" s="26">
        <v>196</v>
      </c>
      <c r="G34" s="26">
        <v>150</v>
      </c>
      <c r="H34" s="26">
        <v>99</v>
      </c>
      <c r="I34" s="7">
        <f t="shared" si="1"/>
        <v>603</v>
      </c>
      <c r="J34" s="7">
        <f t="shared" si="2"/>
        <v>308</v>
      </c>
    </row>
    <row r="35" spans="1:10" x14ac:dyDescent="0.2">
      <c r="A35" s="23" t="s">
        <v>541</v>
      </c>
      <c r="B35" s="24">
        <v>45718</v>
      </c>
      <c r="C35" s="25" t="str">
        <f t="shared" si="0"/>
        <v>Mar</v>
      </c>
      <c r="D35" s="23" t="s">
        <v>510</v>
      </c>
      <c r="E35" s="26">
        <v>563</v>
      </c>
      <c r="F35" s="26">
        <v>227</v>
      </c>
      <c r="G35" s="26">
        <v>192</v>
      </c>
      <c r="H35" s="26">
        <v>127</v>
      </c>
      <c r="I35" s="7">
        <f t="shared" si="1"/>
        <v>755</v>
      </c>
      <c r="J35" s="7">
        <f t="shared" si="2"/>
        <v>401</v>
      </c>
    </row>
    <row r="36" spans="1:10" x14ac:dyDescent="0.2">
      <c r="A36" s="23" t="s">
        <v>542</v>
      </c>
      <c r="B36" s="24">
        <v>45718</v>
      </c>
      <c r="C36" s="25" t="str">
        <f t="shared" ref="C36:C67" si="3">TEXT(B36,"mmm")</f>
        <v>Mar</v>
      </c>
      <c r="D36" s="23" t="s">
        <v>516</v>
      </c>
      <c r="E36" s="26">
        <v>233</v>
      </c>
      <c r="F36" s="26">
        <v>120</v>
      </c>
      <c r="G36" s="26">
        <v>67</v>
      </c>
      <c r="H36" s="26">
        <v>52</v>
      </c>
      <c r="I36" s="7">
        <f t="shared" ref="I36:I67" si="4">E36+G36</f>
        <v>300</v>
      </c>
      <c r="J36" s="7">
        <f t="shared" ref="J36:J67" si="5">(E36-F36)+(G36-H36)</f>
        <v>128</v>
      </c>
    </row>
    <row r="37" spans="1:10" x14ac:dyDescent="0.2">
      <c r="A37" s="23" t="s">
        <v>543</v>
      </c>
      <c r="B37" s="24">
        <v>45720</v>
      </c>
      <c r="C37" s="25" t="str">
        <f t="shared" si="3"/>
        <v>Mar</v>
      </c>
      <c r="D37" s="23" t="s">
        <v>508</v>
      </c>
      <c r="E37" s="26">
        <v>73</v>
      </c>
      <c r="F37" s="26">
        <v>26</v>
      </c>
      <c r="G37" s="26">
        <v>223</v>
      </c>
      <c r="H37" s="26">
        <v>160</v>
      </c>
      <c r="I37" s="7">
        <f t="shared" si="4"/>
        <v>296</v>
      </c>
      <c r="J37" s="7">
        <f t="shared" si="5"/>
        <v>110</v>
      </c>
    </row>
    <row r="38" spans="1:10" x14ac:dyDescent="0.2">
      <c r="A38" s="23" t="s">
        <v>544</v>
      </c>
      <c r="B38" s="24">
        <v>45721</v>
      </c>
      <c r="C38" s="25" t="str">
        <f t="shared" si="3"/>
        <v>Mar</v>
      </c>
      <c r="D38" s="23" t="s">
        <v>510</v>
      </c>
      <c r="E38" s="26">
        <v>887</v>
      </c>
      <c r="F38" s="26">
        <v>279</v>
      </c>
      <c r="G38" s="26">
        <v>602</v>
      </c>
      <c r="H38" s="26">
        <v>406</v>
      </c>
      <c r="I38" s="7">
        <f t="shared" si="4"/>
        <v>1489</v>
      </c>
      <c r="J38" s="7">
        <f t="shared" si="5"/>
        <v>804</v>
      </c>
    </row>
    <row r="39" spans="1:10" x14ac:dyDescent="0.2">
      <c r="A39" s="23" t="s">
        <v>545</v>
      </c>
      <c r="B39" s="24">
        <v>45721</v>
      </c>
      <c r="C39" s="25" t="str">
        <f t="shared" si="3"/>
        <v>Mar</v>
      </c>
      <c r="D39" s="23" t="s">
        <v>510</v>
      </c>
      <c r="E39" s="26">
        <v>334</v>
      </c>
      <c r="F39" s="26">
        <v>100</v>
      </c>
      <c r="G39" s="26">
        <v>442</v>
      </c>
      <c r="H39" s="26">
        <v>258</v>
      </c>
      <c r="I39" s="7">
        <f t="shared" si="4"/>
        <v>776</v>
      </c>
      <c r="J39" s="7">
        <f t="shared" si="5"/>
        <v>418</v>
      </c>
    </row>
    <row r="40" spans="1:10" x14ac:dyDescent="0.2">
      <c r="A40" s="23" t="s">
        <v>546</v>
      </c>
      <c r="B40" s="24">
        <v>45722</v>
      </c>
      <c r="C40" s="25" t="str">
        <f t="shared" si="3"/>
        <v>Mar</v>
      </c>
      <c r="D40" s="23" t="s">
        <v>508</v>
      </c>
      <c r="E40" s="26">
        <v>454</v>
      </c>
      <c r="F40" s="26">
        <v>201</v>
      </c>
      <c r="G40" s="26">
        <v>124</v>
      </c>
      <c r="H40" s="26">
        <v>87</v>
      </c>
      <c r="I40" s="7">
        <f t="shared" si="4"/>
        <v>578</v>
      </c>
      <c r="J40" s="7">
        <f t="shared" si="5"/>
        <v>290</v>
      </c>
    </row>
    <row r="41" spans="1:10" x14ac:dyDescent="0.2">
      <c r="A41" s="23" t="s">
        <v>547</v>
      </c>
      <c r="B41" s="24">
        <v>45729</v>
      </c>
      <c r="C41" s="25" t="str">
        <f t="shared" si="3"/>
        <v>Mar</v>
      </c>
      <c r="D41" s="23" t="s">
        <v>510</v>
      </c>
      <c r="E41" s="26">
        <v>288</v>
      </c>
      <c r="F41" s="26">
        <v>100</v>
      </c>
      <c r="G41" s="26">
        <v>130</v>
      </c>
      <c r="H41" s="26">
        <v>89</v>
      </c>
      <c r="I41" s="7">
        <f t="shared" si="4"/>
        <v>418</v>
      </c>
      <c r="J41" s="7">
        <f t="shared" si="5"/>
        <v>229</v>
      </c>
    </row>
    <row r="42" spans="1:10" x14ac:dyDescent="0.2">
      <c r="A42" s="23" t="s">
        <v>548</v>
      </c>
      <c r="B42" s="24">
        <v>45738</v>
      </c>
      <c r="C42" s="25" t="str">
        <f t="shared" si="3"/>
        <v>Mar</v>
      </c>
      <c r="D42" s="23" t="s">
        <v>510</v>
      </c>
      <c r="E42" s="26">
        <v>503</v>
      </c>
      <c r="F42" s="26">
        <v>173</v>
      </c>
      <c r="G42" s="26">
        <v>112</v>
      </c>
      <c r="H42" s="26">
        <v>70</v>
      </c>
      <c r="I42" s="7">
        <f t="shared" si="4"/>
        <v>615</v>
      </c>
      <c r="J42" s="7">
        <f t="shared" si="5"/>
        <v>372</v>
      </c>
    </row>
    <row r="43" spans="1:10" x14ac:dyDescent="0.2">
      <c r="A43" s="23" t="s">
        <v>549</v>
      </c>
      <c r="B43" s="24">
        <v>45739</v>
      </c>
      <c r="C43" s="25" t="str">
        <f t="shared" si="3"/>
        <v>Mar</v>
      </c>
      <c r="D43" s="23" t="s">
        <v>508</v>
      </c>
      <c r="E43" s="26">
        <v>418</v>
      </c>
      <c r="F43" s="26">
        <v>186</v>
      </c>
      <c r="G43" s="26">
        <v>225</v>
      </c>
      <c r="H43" s="26">
        <v>152</v>
      </c>
      <c r="I43" s="7">
        <f t="shared" si="4"/>
        <v>643</v>
      </c>
      <c r="J43" s="7">
        <f t="shared" si="5"/>
        <v>305</v>
      </c>
    </row>
    <row r="44" spans="1:10" x14ac:dyDescent="0.2">
      <c r="A44" s="23" t="s">
        <v>550</v>
      </c>
      <c r="B44" s="24">
        <v>45741</v>
      </c>
      <c r="C44" s="25" t="str">
        <f t="shared" si="3"/>
        <v>Mar</v>
      </c>
      <c r="D44" s="23" t="s">
        <v>508</v>
      </c>
      <c r="E44" s="26">
        <v>98</v>
      </c>
      <c r="F44" s="26">
        <v>36</v>
      </c>
      <c r="G44" s="26">
        <v>361</v>
      </c>
      <c r="H44" s="26">
        <v>243</v>
      </c>
      <c r="I44" s="7">
        <f t="shared" si="4"/>
        <v>459</v>
      </c>
      <c r="J44" s="7">
        <f t="shared" si="5"/>
        <v>180</v>
      </c>
    </row>
    <row r="45" spans="1:10" x14ac:dyDescent="0.2">
      <c r="A45" s="23" t="s">
        <v>551</v>
      </c>
      <c r="B45" s="24">
        <v>45743</v>
      </c>
      <c r="C45" s="25" t="str">
        <f t="shared" si="3"/>
        <v>Mar</v>
      </c>
      <c r="D45" s="23" t="s">
        <v>508</v>
      </c>
      <c r="E45" s="26">
        <v>387</v>
      </c>
      <c r="F45" s="26">
        <v>169</v>
      </c>
      <c r="G45" s="26">
        <v>106</v>
      </c>
      <c r="H45" s="26">
        <v>70</v>
      </c>
      <c r="I45" s="7">
        <f t="shared" si="4"/>
        <v>493</v>
      </c>
      <c r="J45" s="7">
        <f t="shared" si="5"/>
        <v>254</v>
      </c>
    </row>
    <row r="46" spans="1:10" x14ac:dyDescent="0.2">
      <c r="A46" s="23" t="s">
        <v>552</v>
      </c>
      <c r="B46" s="24">
        <v>45749</v>
      </c>
      <c r="C46" s="25" t="str">
        <f t="shared" si="3"/>
        <v>Apr</v>
      </c>
      <c r="D46" s="23" t="s">
        <v>508</v>
      </c>
      <c r="E46" s="26">
        <v>81</v>
      </c>
      <c r="F46" s="26">
        <v>32</v>
      </c>
      <c r="G46" s="26">
        <v>198</v>
      </c>
      <c r="H46" s="26">
        <v>134</v>
      </c>
      <c r="I46" s="7">
        <f t="shared" si="4"/>
        <v>279</v>
      </c>
      <c r="J46" s="7">
        <f t="shared" si="5"/>
        <v>113</v>
      </c>
    </row>
    <row r="47" spans="1:10" x14ac:dyDescent="0.2">
      <c r="A47" s="23" t="s">
        <v>553</v>
      </c>
      <c r="B47" s="24">
        <v>45749</v>
      </c>
      <c r="C47" s="25" t="str">
        <f t="shared" si="3"/>
        <v>Apr</v>
      </c>
      <c r="D47" s="23" t="s">
        <v>508</v>
      </c>
      <c r="E47" s="26">
        <v>418</v>
      </c>
      <c r="F47" s="26">
        <v>153</v>
      </c>
      <c r="G47" s="26">
        <v>49</v>
      </c>
      <c r="H47" s="26">
        <v>32</v>
      </c>
      <c r="I47" s="7">
        <f t="shared" si="4"/>
        <v>467</v>
      </c>
      <c r="J47" s="7">
        <f t="shared" si="5"/>
        <v>282</v>
      </c>
    </row>
    <row r="48" spans="1:10" x14ac:dyDescent="0.2">
      <c r="A48" s="23" t="s">
        <v>554</v>
      </c>
      <c r="B48" s="24">
        <v>45750</v>
      </c>
      <c r="C48" s="25" t="str">
        <f t="shared" si="3"/>
        <v>Apr</v>
      </c>
      <c r="D48" s="23" t="s">
        <v>508</v>
      </c>
      <c r="E48" s="26">
        <v>64</v>
      </c>
      <c r="F48" s="26">
        <v>24</v>
      </c>
      <c r="G48" s="26">
        <v>273</v>
      </c>
      <c r="H48" s="26">
        <v>179</v>
      </c>
      <c r="I48" s="7">
        <f t="shared" si="4"/>
        <v>337</v>
      </c>
      <c r="J48" s="7">
        <f t="shared" si="5"/>
        <v>134</v>
      </c>
    </row>
    <row r="49" spans="1:10" x14ac:dyDescent="0.2">
      <c r="A49" s="23" t="s">
        <v>555</v>
      </c>
      <c r="B49" s="24">
        <v>45755</v>
      </c>
      <c r="C49" s="25" t="str">
        <f t="shared" si="3"/>
        <v>Apr</v>
      </c>
      <c r="D49" s="23" t="s">
        <v>510</v>
      </c>
      <c r="E49" s="26">
        <v>385</v>
      </c>
      <c r="F49" s="26">
        <v>128</v>
      </c>
      <c r="G49" s="26">
        <v>354</v>
      </c>
      <c r="H49" s="26">
        <v>235</v>
      </c>
      <c r="I49" s="7">
        <f t="shared" si="4"/>
        <v>739</v>
      </c>
      <c r="J49" s="7">
        <f t="shared" si="5"/>
        <v>376</v>
      </c>
    </row>
    <row r="50" spans="1:10" x14ac:dyDescent="0.2">
      <c r="A50" s="23" t="s">
        <v>556</v>
      </c>
      <c r="B50" s="24">
        <v>45755</v>
      </c>
      <c r="C50" s="25" t="str">
        <f t="shared" si="3"/>
        <v>Apr</v>
      </c>
      <c r="D50" s="23" t="s">
        <v>510</v>
      </c>
      <c r="E50" s="26">
        <v>623</v>
      </c>
      <c r="F50" s="26">
        <v>207</v>
      </c>
      <c r="G50" s="26">
        <v>288</v>
      </c>
      <c r="H50" s="26">
        <v>160</v>
      </c>
      <c r="I50" s="7">
        <f t="shared" si="4"/>
        <v>911</v>
      </c>
      <c r="J50" s="7">
        <f t="shared" si="5"/>
        <v>544</v>
      </c>
    </row>
    <row r="51" spans="1:10" x14ac:dyDescent="0.2">
      <c r="A51" s="23" t="s">
        <v>557</v>
      </c>
      <c r="B51" s="24">
        <v>45755</v>
      </c>
      <c r="C51" s="25" t="str">
        <f t="shared" si="3"/>
        <v>Apr</v>
      </c>
      <c r="D51" s="23" t="s">
        <v>516</v>
      </c>
      <c r="E51" s="26">
        <v>274</v>
      </c>
      <c r="F51" s="26">
        <v>115</v>
      </c>
      <c r="G51" s="26">
        <v>211</v>
      </c>
      <c r="H51" s="26">
        <v>168</v>
      </c>
      <c r="I51" s="7">
        <f t="shared" si="4"/>
        <v>485</v>
      </c>
      <c r="J51" s="7">
        <f t="shared" si="5"/>
        <v>202</v>
      </c>
    </row>
    <row r="52" spans="1:10" x14ac:dyDescent="0.2">
      <c r="A52" s="23" t="s">
        <v>558</v>
      </c>
      <c r="B52" s="24">
        <v>45759</v>
      </c>
      <c r="C52" s="25" t="str">
        <f t="shared" si="3"/>
        <v>Apr</v>
      </c>
      <c r="D52" s="23" t="s">
        <v>508</v>
      </c>
      <c r="E52" s="26">
        <v>352</v>
      </c>
      <c r="F52" s="26">
        <v>175</v>
      </c>
      <c r="G52" s="26">
        <v>276</v>
      </c>
      <c r="H52" s="26">
        <v>197</v>
      </c>
      <c r="I52" s="7">
        <f t="shared" si="4"/>
        <v>628</v>
      </c>
      <c r="J52" s="7">
        <f t="shared" si="5"/>
        <v>256</v>
      </c>
    </row>
    <row r="53" spans="1:10" x14ac:dyDescent="0.2">
      <c r="A53" s="23" t="s">
        <v>559</v>
      </c>
      <c r="B53" s="24">
        <v>45761</v>
      </c>
      <c r="C53" s="25" t="str">
        <f t="shared" si="3"/>
        <v>Apr</v>
      </c>
      <c r="D53" s="23" t="s">
        <v>510</v>
      </c>
      <c r="E53" s="26">
        <v>544</v>
      </c>
      <c r="F53" s="26">
        <v>195</v>
      </c>
      <c r="G53" s="26">
        <v>147</v>
      </c>
      <c r="H53" s="26">
        <v>87</v>
      </c>
      <c r="I53" s="7">
        <f t="shared" si="4"/>
        <v>691</v>
      </c>
      <c r="J53" s="7">
        <f t="shared" si="5"/>
        <v>409</v>
      </c>
    </row>
    <row r="54" spans="1:10" x14ac:dyDescent="0.2">
      <c r="A54" s="23" t="s">
        <v>560</v>
      </c>
      <c r="B54" s="24">
        <v>45763</v>
      </c>
      <c r="C54" s="25" t="str">
        <f t="shared" si="3"/>
        <v>Apr</v>
      </c>
      <c r="D54" s="23" t="s">
        <v>508</v>
      </c>
      <c r="E54" s="26">
        <v>410</v>
      </c>
      <c r="F54" s="26">
        <v>164</v>
      </c>
      <c r="G54" s="26">
        <v>290</v>
      </c>
      <c r="H54" s="26">
        <v>216</v>
      </c>
      <c r="I54" s="7">
        <f t="shared" si="4"/>
        <v>700</v>
      </c>
      <c r="J54" s="7">
        <f t="shared" si="5"/>
        <v>320</v>
      </c>
    </row>
    <row r="55" spans="1:10" x14ac:dyDescent="0.2">
      <c r="A55" s="23" t="s">
        <v>561</v>
      </c>
      <c r="B55" s="24">
        <v>45765</v>
      </c>
      <c r="C55" s="25" t="str">
        <f t="shared" si="3"/>
        <v>Apr</v>
      </c>
      <c r="D55" s="23" t="s">
        <v>508</v>
      </c>
      <c r="E55" s="26">
        <v>495</v>
      </c>
      <c r="F55" s="26">
        <v>242</v>
      </c>
      <c r="G55" s="26">
        <v>129</v>
      </c>
      <c r="H55" s="26">
        <v>85</v>
      </c>
      <c r="I55" s="7">
        <f t="shared" si="4"/>
        <v>624</v>
      </c>
      <c r="J55" s="7">
        <f t="shared" si="5"/>
        <v>297</v>
      </c>
    </row>
    <row r="56" spans="1:10" x14ac:dyDescent="0.2">
      <c r="A56" s="23" t="s">
        <v>562</v>
      </c>
      <c r="B56" s="24">
        <v>45766</v>
      </c>
      <c r="C56" s="25" t="str">
        <f t="shared" si="3"/>
        <v>Apr</v>
      </c>
      <c r="D56" s="23" t="s">
        <v>510</v>
      </c>
      <c r="E56" s="26">
        <v>258</v>
      </c>
      <c r="F56" s="26">
        <v>87</v>
      </c>
      <c r="G56" s="26">
        <v>179</v>
      </c>
      <c r="H56" s="26">
        <v>118</v>
      </c>
      <c r="I56" s="7">
        <f t="shared" si="4"/>
        <v>437</v>
      </c>
      <c r="J56" s="7">
        <f t="shared" si="5"/>
        <v>232</v>
      </c>
    </row>
    <row r="57" spans="1:10" x14ac:dyDescent="0.2">
      <c r="A57" s="23" t="s">
        <v>563</v>
      </c>
      <c r="B57" s="24">
        <v>45766</v>
      </c>
      <c r="C57" s="25" t="str">
        <f t="shared" si="3"/>
        <v>Apr</v>
      </c>
      <c r="D57" s="23" t="s">
        <v>510</v>
      </c>
      <c r="E57" s="26">
        <v>248</v>
      </c>
      <c r="F57" s="26">
        <v>86</v>
      </c>
      <c r="G57" s="26">
        <v>582</v>
      </c>
      <c r="H57" s="26">
        <v>358</v>
      </c>
      <c r="I57" s="7">
        <f t="shared" si="4"/>
        <v>830</v>
      </c>
      <c r="J57" s="7">
        <f t="shared" si="5"/>
        <v>386</v>
      </c>
    </row>
    <row r="58" spans="1:10" x14ac:dyDescent="0.2">
      <c r="A58" s="23" t="s">
        <v>564</v>
      </c>
      <c r="B58" s="24">
        <v>45769</v>
      </c>
      <c r="C58" s="25" t="str">
        <f t="shared" si="3"/>
        <v>Apr</v>
      </c>
      <c r="D58" s="23" t="s">
        <v>508</v>
      </c>
      <c r="E58" s="26">
        <v>463</v>
      </c>
      <c r="F58" s="26">
        <v>167</v>
      </c>
      <c r="G58" s="26">
        <v>268</v>
      </c>
      <c r="H58" s="26">
        <v>182</v>
      </c>
      <c r="I58" s="7">
        <f t="shared" si="4"/>
        <v>731</v>
      </c>
      <c r="J58" s="7">
        <f t="shared" si="5"/>
        <v>382</v>
      </c>
    </row>
    <row r="59" spans="1:10" x14ac:dyDescent="0.2">
      <c r="A59" s="23" t="s">
        <v>565</v>
      </c>
      <c r="B59" s="24">
        <v>45771</v>
      </c>
      <c r="C59" s="25" t="str">
        <f t="shared" si="3"/>
        <v>Apr</v>
      </c>
      <c r="D59" s="23" t="s">
        <v>508</v>
      </c>
      <c r="E59" s="26">
        <v>76</v>
      </c>
      <c r="F59" s="26">
        <v>35</v>
      </c>
      <c r="G59" s="26">
        <v>254</v>
      </c>
      <c r="H59" s="26">
        <v>175</v>
      </c>
      <c r="I59" s="7">
        <f t="shared" si="4"/>
        <v>330</v>
      </c>
      <c r="J59" s="7">
        <f t="shared" si="5"/>
        <v>120</v>
      </c>
    </row>
    <row r="60" spans="1:10" x14ac:dyDescent="0.2">
      <c r="A60" s="23" t="s">
        <v>566</v>
      </c>
      <c r="B60" s="24">
        <v>45771</v>
      </c>
      <c r="C60" s="25" t="str">
        <f t="shared" si="3"/>
        <v>Apr</v>
      </c>
      <c r="D60" s="23" t="s">
        <v>510</v>
      </c>
      <c r="E60" s="26">
        <v>852</v>
      </c>
      <c r="F60" s="26">
        <v>316</v>
      </c>
      <c r="G60" s="26">
        <v>298</v>
      </c>
      <c r="H60" s="26">
        <v>194</v>
      </c>
      <c r="I60" s="7">
        <f t="shared" si="4"/>
        <v>1150</v>
      </c>
      <c r="J60" s="7">
        <f t="shared" si="5"/>
        <v>640</v>
      </c>
    </row>
    <row r="61" spans="1:10" x14ac:dyDescent="0.2">
      <c r="A61" s="23" t="s">
        <v>567</v>
      </c>
      <c r="B61" s="24">
        <v>45772</v>
      </c>
      <c r="C61" s="25" t="str">
        <f t="shared" si="3"/>
        <v>Apr</v>
      </c>
      <c r="D61" s="23" t="s">
        <v>516</v>
      </c>
      <c r="E61" s="26">
        <v>58</v>
      </c>
      <c r="F61" s="26">
        <v>24</v>
      </c>
      <c r="G61" s="26">
        <v>94</v>
      </c>
      <c r="H61" s="26">
        <v>64</v>
      </c>
      <c r="I61" s="7">
        <f t="shared" si="4"/>
        <v>152</v>
      </c>
      <c r="J61" s="7">
        <f t="shared" si="5"/>
        <v>64</v>
      </c>
    </row>
    <row r="62" spans="1:10" x14ac:dyDescent="0.2">
      <c r="A62" s="23" t="s">
        <v>568</v>
      </c>
      <c r="B62" s="24">
        <v>45774</v>
      </c>
      <c r="C62" s="25" t="str">
        <f t="shared" si="3"/>
        <v>Apr</v>
      </c>
      <c r="D62" s="23" t="s">
        <v>510</v>
      </c>
      <c r="E62" s="26">
        <v>103</v>
      </c>
      <c r="F62" s="26">
        <v>46</v>
      </c>
      <c r="G62" s="26">
        <v>524</v>
      </c>
      <c r="H62" s="26">
        <v>341</v>
      </c>
      <c r="I62" s="7">
        <f t="shared" si="4"/>
        <v>627</v>
      </c>
      <c r="J62" s="7">
        <f t="shared" si="5"/>
        <v>240</v>
      </c>
    </row>
    <row r="63" spans="1:10" x14ac:dyDescent="0.2">
      <c r="A63" s="23" t="s">
        <v>569</v>
      </c>
      <c r="B63" s="24">
        <v>45778</v>
      </c>
      <c r="C63" s="25" t="str">
        <f t="shared" si="3"/>
        <v>May</v>
      </c>
      <c r="D63" s="23" t="s">
        <v>510</v>
      </c>
      <c r="E63" s="26">
        <v>794</v>
      </c>
      <c r="F63" s="26">
        <v>318</v>
      </c>
      <c r="G63" s="26">
        <v>233</v>
      </c>
      <c r="H63" s="26">
        <v>131</v>
      </c>
      <c r="I63" s="7">
        <f t="shared" si="4"/>
        <v>1027</v>
      </c>
      <c r="J63" s="7">
        <f t="shared" si="5"/>
        <v>578</v>
      </c>
    </row>
    <row r="64" spans="1:10" x14ac:dyDescent="0.2">
      <c r="A64" s="23" t="s">
        <v>570</v>
      </c>
      <c r="B64" s="24">
        <v>45779</v>
      </c>
      <c r="C64" s="25" t="str">
        <f t="shared" si="3"/>
        <v>May</v>
      </c>
      <c r="D64" s="23" t="s">
        <v>508</v>
      </c>
      <c r="E64" s="26">
        <v>250</v>
      </c>
      <c r="F64" s="26">
        <v>108</v>
      </c>
      <c r="G64" s="26">
        <v>92</v>
      </c>
      <c r="H64" s="26">
        <v>65</v>
      </c>
      <c r="I64" s="7">
        <f t="shared" si="4"/>
        <v>342</v>
      </c>
      <c r="J64" s="7">
        <f t="shared" si="5"/>
        <v>169</v>
      </c>
    </row>
    <row r="65" spans="1:10" x14ac:dyDescent="0.2">
      <c r="A65" s="23" t="s">
        <v>571</v>
      </c>
      <c r="B65" s="24">
        <v>45779</v>
      </c>
      <c r="C65" s="25" t="str">
        <f t="shared" si="3"/>
        <v>May</v>
      </c>
      <c r="D65" s="23" t="s">
        <v>510</v>
      </c>
      <c r="E65" s="26">
        <v>661</v>
      </c>
      <c r="F65" s="26">
        <v>258</v>
      </c>
      <c r="G65" s="26">
        <v>393</v>
      </c>
      <c r="H65" s="26">
        <v>232</v>
      </c>
      <c r="I65" s="7">
        <f t="shared" si="4"/>
        <v>1054</v>
      </c>
      <c r="J65" s="7">
        <f t="shared" si="5"/>
        <v>564</v>
      </c>
    </row>
    <row r="66" spans="1:10" x14ac:dyDescent="0.2">
      <c r="A66" s="23" t="s">
        <v>572</v>
      </c>
      <c r="B66" s="24">
        <v>45787</v>
      </c>
      <c r="C66" s="25" t="str">
        <f t="shared" si="3"/>
        <v>May</v>
      </c>
      <c r="D66" s="23" t="s">
        <v>510</v>
      </c>
      <c r="E66" s="26">
        <v>87</v>
      </c>
      <c r="F66" s="26">
        <v>32</v>
      </c>
      <c r="G66" s="26">
        <v>490</v>
      </c>
      <c r="H66" s="26">
        <v>282</v>
      </c>
      <c r="I66" s="7">
        <f t="shared" si="4"/>
        <v>577</v>
      </c>
      <c r="J66" s="7">
        <f t="shared" si="5"/>
        <v>263</v>
      </c>
    </row>
    <row r="67" spans="1:10" x14ac:dyDescent="0.2">
      <c r="A67" s="23" t="s">
        <v>573</v>
      </c>
      <c r="B67" s="24">
        <v>45788</v>
      </c>
      <c r="C67" s="25" t="str">
        <f t="shared" si="3"/>
        <v>May</v>
      </c>
      <c r="D67" s="23" t="s">
        <v>510</v>
      </c>
      <c r="E67" s="26">
        <v>140</v>
      </c>
      <c r="F67" s="26">
        <v>61</v>
      </c>
      <c r="G67" s="26">
        <v>141</v>
      </c>
      <c r="H67" s="26">
        <v>91</v>
      </c>
      <c r="I67" s="7">
        <f t="shared" si="4"/>
        <v>281</v>
      </c>
      <c r="J67" s="7">
        <f t="shared" si="5"/>
        <v>129</v>
      </c>
    </row>
    <row r="68" spans="1:10" x14ac:dyDescent="0.2">
      <c r="A68" s="23" t="s">
        <v>574</v>
      </c>
      <c r="B68" s="24">
        <v>45788</v>
      </c>
      <c r="C68" s="25" t="str">
        <f t="shared" ref="C68:C99" si="6">TEXT(B68,"mmm")</f>
        <v>May</v>
      </c>
      <c r="D68" s="23" t="s">
        <v>510</v>
      </c>
      <c r="E68" s="26">
        <v>820</v>
      </c>
      <c r="F68" s="26">
        <v>316</v>
      </c>
      <c r="G68" s="26">
        <v>317</v>
      </c>
      <c r="H68" s="26">
        <v>205</v>
      </c>
      <c r="I68" s="7">
        <f t="shared" ref="I68:I99" si="7">E68+G68</f>
        <v>1137</v>
      </c>
      <c r="J68" s="7">
        <f t="shared" ref="J68:J99" si="8">(E68-F68)+(G68-H68)</f>
        <v>616</v>
      </c>
    </row>
    <row r="69" spans="1:10" x14ac:dyDescent="0.2">
      <c r="A69" s="23" t="s">
        <v>575</v>
      </c>
      <c r="B69" s="24">
        <v>45790</v>
      </c>
      <c r="C69" s="25" t="str">
        <f t="shared" si="6"/>
        <v>May</v>
      </c>
      <c r="D69" s="23" t="s">
        <v>510</v>
      </c>
      <c r="E69" s="26">
        <v>630</v>
      </c>
      <c r="F69" s="26">
        <v>233</v>
      </c>
      <c r="G69" s="26">
        <v>280</v>
      </c>
      <c r="H69" s="26">
        <v>166</v>
      </c>
      <c r="I69" s="7">
        <f t="shared" si="7"/>
        <v>910</v>
      </c>
      <c r="J69" s="7">
        <f t="shared" si="8"/>
        <v>511</v>
      </c>
    </row>
    <row r="70" spans="1:10" x14ac:dyDescent="0.2">
      <c r="A70" s="23" t="s">
        <v>576</v>
      </c>
      <c r="B70" s="24">
        <v>45791</v>
      </c>
      <c r="C70" s="25" t="str">
        <f t="shared" si="6"/>
        <v>May</v>
      </c>
      <c r="D70" s="23" t="s">
        <v>510</v>
      </c>
      <c r="E70" s="26">
        <v>441</v>
      </c>
      <c r="F70" s="26">
        <v>148</v>
      </c>
      <c r="G70" s="26">
        <v>476</v>
      </c>
      <c r="H70" s="26">
        <v>275</v>
      </c>
      <c r="I70" s="7">
        <f t="shared" si="7"/>
        <v>917</v>
      </c>
      <c r="J70" s="7">
        <f t="shared" si="8"/>
        <v>494</v>
      </c>
    </row>
    <row r="71" spans="1:10" x14ac:dyDescent="0.2">
      <c r="A71" s="23" t="s">
        <v>577</v>
      </c>
      <c r="B71" s="24">
        <v>45793</v>
      </c>
      <c r="C71" s="25" t="str">
        <f t="shared" si="6"/>
        <v>May</v>
      </c>
      <c r="D71" s="23" t="s">
        <v>510</v>
      </c>
      <c r="E71" s="26">
        <v>482</v>
      </c>
      <c r="F71" s="26">
        <v>181</v>
      </c>
      <c r="G71" s="26">
        <v>296</v>
      </c>
      <c r="H71" s="26">
        <v>172</v>
      </c>
      <c r="I71" s="7">
        <f t="shared" si="7"/>
        <v>778</v>
      </c>
      <c r="J71" s="7">
        <f t="shared" si="8"/>
        <v>425</v>
      </c>
    </row>
    <row r="72" spans="1:10" x14ac:dyDescent="0.2">
      <c r="A72" s="23" t="s">
        <v>578</v>
      </c>
      <c r="B72" s="24">
        <v>45798</v>
      </c>
      <c r="C72" s="25" t="str">
        <f t="shared" si="6"/>
        <v>May</v>
      </c>
      <c r="D72" s="23" t="s">
        <v>508</v>
      </c>
      <c r="E72" s="26">
        <v>260</v>
      </c>
      <c r="F72" s="26">
        <v>96</v>
      </c>
      <c r="G72" s="26">
        <v>83</v>
      </c>
      <c r="H72" s="26">
        <v>53</v>
      </c>
      <c r="I72" s="7">
        <f t="shared" si="7"/>
        <v>343</v>
      </c>
      <c r="J72" s="7">
        <f t="shared" si="8"/>
        <v>194</v>
      </c>
    </row>
    <row r="73" spans="1:10" x14ac:dyDescent="0.2">
      <c r="A73" s="23" t="s">
        <v>579</v>
      </c>
      <c r="B73" s="24">
        <v>45799</v>
      </c>
      <c r="C73" s="25" t="str">
        <f t="shared" si="6"/>
        <v>May</v>
      </c>
      <c r="D73" s="23" t="s">
        <v>508</v>
      </c>
      <c r="E73" s="26">
        <v>309</v>
      </c>
      <c r="F73" s="26">
        <v>132</v>
      </c>
      <c r="G73" s="26">
        <v>197</v>
      </c>
      <c r="H73" s="26">
        <v>119</v>
      </c>
      <c r="I73" s="7">
        <f t="shared" si="7"/>
        <v>506</v>
      </c>
      <c r="J73" s="7">
        <f t="shared" si="8"/>
        <v>255</v>
      </c>
    </row>
    <row r="74" spans="1:10" x14ac:dyDescent="0.2">
      <c r="A74" s="23" t="s">
        <v>580</v>
      </c>
      <c r="B74" s="24">
        <v>45800</v>
      </c>
      <c r="C74" s="25" t="str">
        <f t="shared" si="6"/>
        <v>May</v>
      </c>
      <c r="D74" s="23" t="s">
        <v>508</v>
      </c>
      <c r="E74" s="26">
        <v>233</v>
      </c>
      <c r="F74" s="26">
        <v>93</v>
      </c>
      <c r="G74" s="26">
        <v>132</v>
      </c>
      <c r="H74" s="26">
        <v>96</v>
      </c>
      <c r="I74" s="7">
        <f t="shared" si="7"/>
        <v>365</v>
      </c>
      <c r="J74" s="7">
        <f t="shared" si="8"/>
        <v>176</v>
      </c>
    </row>
    <row r="75" spans="1:10" x14ac:dyDescent="0.2">
      <c r="A75" s="23" t="s">
        <v>581</v>
      </c>
      <c r="B75" s="24">
        <v>45801</v>
      </c>
      <c r="C75" s="25" t="str">
        <f t="shared" si="6"/>
        <v>May</v>
      </c>
      <c r="D75" s="23" t="s">
        <v>510</v>
      </c>
      <c r="E75" s="26">
        <v>887</v>
      </c>
      <c r="F75" s="26">
        <v>275</v>
      </c>
      <c r="G75" s="26">
        <v>296</v>
      </c>
      <c r="H75" s="26">
        <v>195</v>
      </c>
      <c r="I75" s="7">
        <f t="shared" si="7"/>
        <v>1183</v>
      </c>
      <c r="J75" s="7">
        <f t="shared" si="8"/>
        <v>713</v>
      </c>
    </row>
    <row r="76" spans="1:10" x14ac:dyDescent="0.2">
      <c r="A76" s="23" t="s">
        <v>582</v>
      </c>
      <c r="B76" s="24">
        <v>45809</v>
      </c>
      <c r="C76" s="25" t="str">
        <f t="shared" si="6"/>
        <v>Jun</v>
      </c>
      <c r="D76" s="23" t="s">
        <v>510</v>
      </c>
      <c r="E76" s="26">
        <v>485</v>
      </c>
      <c r="F76" s="26">
        <v>182</v>
      </c>
      <c r="G76" s="26">
        <v>291</v>
      </c>
      <c r="H76" s="26">
        <v>176</v>
      </c>
      <c r="I76" s="7">
        <f t="shared" si="7"/>
        <v>776</v>
      </c>
      <c r="J76" s="7">
        <f t="shared" si="8"/>
        <v>418</v>
      </c>
    </row>
    <row r="77" spans="1:10" x14ac:dyDescent="0.2">
      <c r="A77" s="23" t="s">
        <v>583</v>
      </c>
      <c r="B77" s="24">
        <v>45810</v>
      </c>
      <c r="C77" s="25" t="str">
        <f t="shared" si="6"/>
        <v>Jun</v>
      </c>
      <c r="D77" s="23" t="s">
        <v>510</v>
      </c>
      <c r="E77" s="26">
        <v>586</v>
      </c>
      <c r="F77" s="26">
        <v>228</v>
      </c>
      <c r="G77" s="26">
        <v>531</v>
      </c>
      <c r="H77" s="26">
        <v>314</v>
      </c>
      <c r="I77" s="7">
        <f t="shared" si="7"/>
        <v>1117</v>
      </c>
      <c r="J77" s="7">
        <f t="shared" si="8"/>
        <v>575</v>
      </c>
    </row>
    <row r="78" spans="1:10" x14ac:dyDescent="0.2">
      <c r="A78" s="23" t="s">
        <v>584</v>
      </c>
      <c r="B78" s="24">
        <v>45810</v>
      </c>
      <c r="C78" s="25" t="str">
        <f t="shared" si="6"/>
        <v>Jun</v>
      </c>
      <c r="D78" s="23" t="s">
        <v>510</v>
      </c>
      <c r="E78" s="26">
        <v>663</v>
      </c>
      <c r="F78" s="26">
        <v>254</v>
      </c>
      <c r="G78" s="26">
        <v>421</v>
      </c>
      <c r="H78" s="26">
        <v>266</v>
      </c>
      <c r="I78" s="7">
        <f t="shared" si="7"/>
        <v>1084</v>
      </c>
      <c r="J78" s="7">
        <f t="shared" si="8"/>
        <v>564</v>
      </c>
    </row>
    <row r="79" spans="1:10" x14ac:dyDescent="0.2">
      <c r="A79" s="23" t="s">
        <v>585</v>
      </c>
      <c r="B79" s="24">
        <v>45811</v>
      </c>
      <c r="C79" s="25" t="str">
        <f t="shared" si="6"/>
        <v>Jun</v>
      </c>
      <c r="D79" s="23" t="s">
        <v>516</v>
      </c>
      <c r="E79" s="26">
        <v>87</v>
      </c>
      <c r="F79" s="26">
        <v>35</v>
      </c>
      <c r="G79" s="26">
        <v>160</v>
      </c>
      <c r="H79" s="26">
        <v>125</v>
      </c>
      <c r="I79" s="7">
        <f t="shared" si="7"/>
        <v>247</v>
      </c>
      <c r="J79" s="7">
        <f t="shared" si="8"/>
        <v>87</v>
      </c>
    </row>
    <row r="80" spans="1:10" x14ac:dyDescent="0.2">
      <c r="A80" s="23" t="s">
        <v>586</v>
      </c>
      <c r="B80" s="24">
        <v>45811</v>
      </c>
      <c r="C80" s="25" t="str">
        <f t="shared" si="6"/>
        <v>Jun</v>
      </c>
      <c r="D80" s="23" t="s">
        <v>510</v>
      </c>
      <c r="E80" s="26">
        <v>275</v>
      </c>
      <c r="F80" s="26">
        <v>84</v>
      </c>
      <c r="G80" s="26">
        <v>436</v>
      </c>
      <c r="H80" s="26">
        <v>283</v>
      </c>
      <c r="I80" s="7">
        <f t="shared" si="7"/>
        <v>711</v>
      </c>
      <c r="J80" s="7">
        <f t="shared" si="8"/>
        <v>344</v>
      </c>
    </row>
    <row r="81" spans="1:10" x14ac:dyDescent="0.2">
      <c r="A81" s="23" t="s">
        <v>587</v>
      </c>
      <c r="B81" s="24">
        <v>45812</v>
      </c>
      <c r="C81" s="25" t="str">
        <f t="shared" si="6"/>
        <v>Jun</v>
      </c>
      <c r="D81" s="23" t="s">
        <v>510</v>
      </c>
      <c r="E81" s="26">
        <v>630</v>
      </c>
      <c r="F81" s="26">
        <v>226</v>
      </c>
      <c r="G81" s="26">
        <v>180</v>
      </c>
      <c r="H81" s="26">
        <v>118</v>
      </c>
      <c r="I81" s="7">
        <f t="shared" si="7"/>
        <v>810</v>
      </c>
      <c r="J81" s="7">
        <f t="shared" si="8"/>
        <v>466</v>
      </c>
    </row>
    <row r="82" spans="1:10" x14ac:dyDescent="0.2">
      <c r="A82" s="23" t="s">
        <v>588</v>
      </c>
      <c r="B82" s="24">
        <v>45816</v>
      </c>
      <c r="C82" s="25" t="str">
        <f t="shared" si="6"/>
        <v>Jun</v>
      </c>
      <c r="D82" s="23" t="s">
        <v>516</v>
      </c>
      <c r="E82" s="26">
        <v>135</v>
      </c>
      <c r="F82" s="26">
        <v>55</v>
      </c>
      <c r="G82" s="26">
        <v>215</v>
      </c>
      <c r="H82" s="26">
        <v>157</v>
      </c>
      <c r="I82" s="7">
        <f t="shared" si="7"/>
        <v>350</v>
      </c>
      <c r="J82" s="7">
        <f t="shared" si="8"/>
        <v>138</v>
      </c>
    </row>
    <row r="83" spans="1:10" x14ac:dyDescent="0.2">
      <c r="A83" s="23" t="s">
        <v>589</v>
      </c>
      <c r="B83" s="24">
        <v>45820</v>
      </c>
      <c r="C83" s="25" t="str">
        <f t="shared" si="6"/>
        <v>Jun</v>
      </c>
      <c r="D83" s="23" t="s">
        <v>510</v>
      </c>
      <c r="E83" s="26">
        <v>660</v>
      </c>
      <c r="F83" s="26">
        <v>201</v>
      </c>
      <c r="G83" s="26">
        <v>207</v>
      </c>
      <c r="H83" s="26">
        <v>134</v>
      </c>
      <c r="I83" s="7">
        <f t="shared" si="7"/>
        <v>867</v>
      </c>
      <c r="J83" s="7">
        <f t="shared" si="8"/>
        <v>532</v>
      </c>
    </row>
    <row r="84" spans="1:10" x14ac:dyDescent="0.2">
      <c r="A84" s="23" t="s">
        <v>590</v>
      </c>
      <c r="B84" s="24">
        <v>45820</v>
      </c>
      <c r="C84" s="25" t="str">
        <f t="shared" si="6"/>
        <v>Jun</v>
      </c>
      <c r="D84" s="23" t="s">
        <v>510</v>
      </c>
      <c r="E84" s="26">
        <v>158</v>
      </c>
      <c r="F84" s="26">
        <v>61</v>
      </c>
      <c r="G84" s="26">
        <v>592</v>
      </c>
      <c r="H84" s="26">
        <v>358</v>
      </c>
      <c r="I84" s="7">
        <f t="shared" si="7"/>
        <v>750</v>
      </c>
      <c r="J84" s="7">
        <f t="shared" si="8"/>
        <v>331</v>
      </c>
    </row>
    <row r="85" spans="1:10" x14ac:dyDescent="0.2">
      <c r="A85" s="23" t="s">
        <v>591</v>
      </c>
      <c r="B85" s="24">
        <v>45821</v>
      </c>
      <c r="C85" s="25" t="str">
        <f t="shared" si="6"/>
        <v>Jun</v>
      </c>
      <c r="D85" s="23" t="s">
        <v>510</v>
      </c>
      <c r="E85" s="26">
        <v>459</v>
      </c>
      <c r="F85" s="26">
        <v>173</v>
      </c>
      <c r="G85" s="26">
        <v>158</v>
      </c>
      <c r="H85" s="26">
        <v>94</v>
      </c>
      <c r="I85" s="7">
        <f t="shared" si="7"/>
        <v>617</v>
      </c>
      <c r="J85" s="7">
        <f t="shared" si="8"/>
        <v>350</v>
      </c>
    </row>
    <row r="86" spans="1:10" x14ac:dyDescent="0.2">
      <c r="A86" s="23" t="s">
        <v>592</v>
      </c>
      <c r="B86" s="24">
        <v>45822</v>
      </c>
      <c r="C86" s="25" t="str">
        <f t="shared" si="6"/>
        <v>Jun</v>
      </c>
      <c r="D86" s="23" t="s">
        <v>508</v>
      </c>
      <c r="E86" s="26">
        <v>301</v>
      </c>
      <c r="F86" s="26">
        <v>139</v>
      </c>
      <c r="G86" s="26">
        <v>380</v>
      </c>
      <c r="H86" s="26">
        <v>275</v>
      </c>
      <c r="I86" s="7">
        <f t="shared" si="7"/>
        <v>681</v>
      </c>
      <c r="J86" s="7">
        <f t="shared" si="8"/>
        <v>267</v>
      </c>
    </row>
    <row r="87" spans="1:10" x14ac:dyDescent="0.2">
      <c r="A87" s="23" t="s">
        <v>593</v>
      </c>
      <c r="B87" s="24">
        <v>45826</v>
      </c>
      <c r="C87" s="25" t="str">
        <f t="shared" si="6"/>
        <v>Jun</v>
      </c>
      <c r="D87" s="23" t="s">
        <v>510</v>
      </c>
      <c r="E87" s="26">
        <v>870</v>
      </c>
      <c r="F87" s="26">
        <v>374</v>
      </c>
      <c r="G87" s="26">
        <v>320</v>
      </c>
      <c r="H87" s="26">
        <v>205</v>
      </c>
      <c r="I87" s="7">
        <f t="shared" si="7"/>
        <v>1190</v>
      </c>
      <c r="J87" s="7">
        <f t="shared" si="8"/>
        <v>611</v>
      </c>
    </row>
    <row r="88" spans="1:10" x14ac:dyDescent="0.2">
      <c r="A88" s="23" t="s">
        <v>594</v>
      </c>
      <c r="B88" s="24">
        <v>45827</v>
      </c>
      <c r="C88" s="25" t="str">
        <f t="shared" si="6"/>
        <v>Jun</v>
      </c>
      <c r="D88" s="23" t="s">
        <v>510</v>
      </c>
      <c r="E88" s="26">
        <v>494</v>
      </c>
      <c r="F88" s="26">
        <v>200</v>
      </c>
      <c r="G88" s="26">
        <v>477</v>
      </c>
      <c r="H88" s="26">
        <v>283</v>
      </c>
      <c r="I88" s="7">
        <f t="shared" si="7"/>
        <v>971</v>
      </c>
      <c r="J88" s="7">
        <f t="shared" si="8"/>
        <v>488</v>
      </c>
    </row>
    <row r="89" spans="1:10" x14ac:dyDescent="0.2">
      <c r="A89" s="23" t="s">
        <v>595</v>
      </c>
      <c r="B89" s="24">
        <v>45829</v>
      </c>
      <c r="C89" s="25" t="str">
        <f t="shared" si="6"/>
        <v>Jun</v>
      </c>
      <c r="D89" s="23" t="s">
        <v>510</v>
      </c>
      <c r="E89" s="26">
        <v>196</v>
      </c>
      <c r="F89" s="26">
        <v>59</v>
      </c>
      <c r="G89" s="26">
        <v>240</v>
      </c>
      <c r="H89" s="26">
        <v>149</v>
      </c>
      <c r="I89" s="7">
        <f t="shared" si="7"/>
        <v>436</v>
      </c>
      <c r="J89" s="7">
        <f t="shared" si="8"/>
        <v>228</v>
      </c>
    </row>
    <row r="90" spans="1:10" x14ac:dyDescent="0.2">
      <c r="A90" s="23" t="s">
        <v>596</v>
      </c>
      <c r="B90" s="24">
        <v>45830</v>
      </c>
      <c r="C90" s="25" t="str">
        <f t="shared" si="6"/>
        <v>Jun</v>
      </c>
      <c r="D90" s="23" t="s">
        <v>510</v>
      </c>
      <c r="E90" s="26">
        <v>236</v>
      </c>
      <c r="F90" s="26">
        <v>95</v>
      </c>
      <c r="G90" s="26">
        <v>535</v>
      </c>
      <c r="H90" s="26">
        <v>299</v>
      </c>
      <c r="I90" s="7">
        <f t="shared" si="7"/>
        <v>771</v>
      </c>
      <c r="J90" s="7">
        <f t="shared" si="8"/>
        <v>377</v>
      </c>
    </row>
    <row r="91" spans="1:10" x14ac:dyDescent="0.2">
      <c r="A91" s="23" t="s">
        <v>597</v>
      </c>
      <c r="B91" s="24">
        <v>45830</v>
      </c>
      <c r="C91" s="25" t="str">
        <f t="shared" si="6"/>
        <v>Jun</v>
      </c>
      <c r="D91" s="23" t="s">
        <v>508</v>
      </c>
      <c r="E91" s="26">
        <v>464</v>
      </c>
      <c r="F91" s="26">
        <v>206</v>
      </c>
      <c r="G91" s="26">
        <v>211</v>
      </c>
      <c r="H91" s="26">
        <v>128</v>
      </c>
      <c r="I91" s="7">
        <f t="shared" si="7"/>
        <v>675</v>
      </c>
      <c r="J91" s="7">
        <f t="shared" si="8"/>
        <v>341</v>
      </c>
    </row>
    <row r="92" spans="1:10" x14ac:dyDescent="0.2">
      <c r="A92" s="23" t="s">
        <v>598</v>
      </c>
      <c r="B92" s="24">
        <v>45830</v>
      </c>
      <c r="C92" s="25" t="str">
        <f t="shared" si="6"/>
        <v>Jun</v>
      </c>
      <c r="D92" s="23" t="s">
        <v>510</v>
      </c>
      <c r="E92" s="26">
        <v>146</v>
      </c>
      <c r="F92" s="26">
        <v>55</v>
      </c>
      <c r="G92" s="26">
        <v>347</v>
      </c>
      <c r="H92" s="26">
        <v>237</v>
      </c>
      <c r="I92" s="7">
        <f t="shared" si="7"/>
        <v>493</v>
      </c>
      <c r="J92" s="7">
        <f t="shared" si="8"/>
        <v>201</v>
      </c>
    </row>
    <row r="93" spans="1:10" x14ac:dyDescent="0.2">
      <c r="A93" s="23" t="s">
        <v>599</v>
      </c>
      <c r="B93" s="24">
        <v>45833</v>
      </c>
      <c r="C93" s="25" t="str">
        <f t="shared" si="6"/>
        <v>Jun</v>
      </c>
      <c r="D93" s="23" t="s">
        <v>516</v>
      </c>
      <c r="E93" s="26">
        <v>73</v>
      </c>
      <c r="F93" s="26">
        <v>38</v>
      </c>
      <c r="G93" s="26">
        <v>59</v>
      </c>
      <c r="H93" s="26">
        <v>39</v>
      </c>
      <c r="I93" s="7">
        <f t="shared" si="7"/>
        <v>132</v>
      </c>
      <c r="J93" s="7">
        <f t="shared" si="8"/>
        <v>55</v>
      </c>
    </row>
    <row r="94" spans="1:10" x14ac:dyDescent="0.2">
      <c r="A94" s="23" t="s">
        <v>600</v>
      </c>
      <c r="B94" s="24">
        <v>45833</v>
      </c>
      <c r="C94" s="25" t="str">
        <f t="shared" si="6"/>
        <v>Jun</v>
      </c>
      <c r="D94" s="23" t="s">
        <v>510</v>
      </c>
      <c r="E94" s="26">
        <v>696</v>
      </c>
      <c r="F94" s="26">
        <v>261</v>
      </c>
      <c r="G94" s="26">
        <v>562</v>
      </c>
      <c r="H94" s="26">
        <v>312</v>
      </c>
      <c r="I94" s="7">
        <f t="shared" si="7"/>
        <v>1258</v>
      </c>
      <c r="J94" s="7">
        <f t="shared" si="8"/>
        <v>685</v>
      </c>
    </row>
    <row r="95" spans="1:10" x14ac:dyDescent="0.2">
      <c r="A95" s="23" t="s">
        <v>601</v>
      </c>
      <c r="B95" s="24">
        <v>45834</v>
      </c>
      <c r="C95" s="25" t="str">
        <f t="shared" si="6"/>
        <v>Jun</v>
      </c>
      <c r="D95" s="23" t="s">
        <v>510</v>
      </c>
      <c r="E95" s="26">
        <v>770</v>
      </c>
      <c r="F95" s="26">
        <v>318</v>
      </c>
      <c r="G95" s="26">
        <v>229</v>
      </c>
      <c r="H95" s="26">
        <v>146</v>
      </c>
      <c r="I95" s="7">
        <f t="shared" si="7"/>
        <v>999</v>
      </c>
      <c r="J95" s="7">
        <f t="shared" si="8"/>
        <v>535</v>
      </c>
    </row>
    <row r="96" spans="1:10" x14ac:dyDescent="0.2">
      <c r="A96" s="23" t="s">
        <v>602</v>
      </c>
      <c r="B96" s="24">
        <v>45836</v>
      </c>
      <c r="C96" s="25" t="str">
        <f t="shared" si="6"/>
        <v>Jun</v>
      </c>
      <c r="D96" s="23" t="s">
        <v>508</v>
      </c>
      <c r="E96" s="26">
        <v>118</v>
      </c>
      <c r="F96" s="26">
        <v>54</v>
      </c>
      <c r="G96" s="26">
        <v>333</v>
      </c>
      <c r="H96" s="26">
        <v>211</v>
      </c>
      <c r="I96" s="7">
        <f t="shared" si="7"/>
        <v>451</v>
      </c>
      <c r="J96" s="7">
        <f t="shared" si="8"/>
        <v>186</v>
      </c>
    </row>
    <row r="97" spans="1:10" x14ac:dyDescent="0.2">
      <c r="A97" s="23" t="s">
        <v>603</v>
      </c>
      <c r="B97" s="24">
        <v>45839</v>
      </c>
      <c r="C97" s="25" t="str">
        <f t="shared" si="6"/>
        <v>Jul</v>
      </c>
      <c r="D97" s="23" t="s">
        <v>516</v>
      </c>
      <c r="E97" s="26">
        <v>117</v>
      </c>
      <c r="F97" s="26">
        <v>60</v>
      </c>
      <c r="G97" s="26">
        <v>178</v>
      </c>
      <c r="H97" s="26">
        <v>127</v>
      </c>
      <c r="I97" s="7">
        <f t="shared" si="7"/>
        <v>295</v>
      </c>
      <c r="J97" s="7">
        <f t="shared" si="8"/>
        <v>108</v>
      </c>
    </row>
    <row r="98" spans="1:10" x14ac:dyDescent="0.2">
      <c r="A98" s="23" t="s">
        <v>604</v>
      </c>
      <c r="B98" s="24">
        <v>45843</v>
      </c>
      <c r="C98" s="25" t="str">
        <f t="shared" si="6"/>
        <v>Jul</v>
      </c>
      <c r="D98" s="23" t="s">
        <v>510</v>
      </c>
      <c r="E98" s="26">
        <v>288</v>
      </c>
      <c r="F98" s="26">
        <v>104</v>
      </c>
      <c r="G98" s="26">
        <v>676</v>
      </c>
      <c r="H98" s="26">
        <v>465</v>
      </c>
      <c r="I98" s="7">
        <f t="shared" si="7"/>
        <v>964</v>
      </c>
      <c r="J98" s="7">
        <f t="shared" si="8"/>
        <v>395</v>
      </c>
    </row>
    <row r="99" spans="1:10" x14ac:dyDescent="0.2">
      <c r="A99" s="23" t="s">
        <v>605</v>
      </c>
      <c r="B99" s="24">
        <v>45847</v>
      </c>
      <c r="C99" s="25" t="str">
        <f t="shared" si="6"/>
        <v>Jul</v>
      </c>
      <c r="D99" s="23" t="s">
        <v>508</v>
      </c>
      <c r="E99" s="26">
        <v>465</v>
      </c>
      <c r="F99" s="26">
        <v>228</v>
      </c>
      <c r="G99" s="26">
        <v>78</v>
      </c>
      <c r="H99" s="26">
        <v>54</v>
      </c>
      <c r="I99" s="7">
        <f t="shared" si="7"/>
        <v>543</v>
      </c>
      <c r="J99" s="7">
        <f t="shared" si="8"/>
        <v>261</v>
      </c>
    </row>
    <row r="100" spans="1:10" x14ac:dyDescent="0.2">
      <c r="A100" s="23" t="s">
        <v>606</v>
      </c>
      <c r="B100" s="24">
        <v>45849</v>
      </c>
      <c r="C100" s="25" t="str">
        <f t="shared" ref="C100:C131" si="9">TEXT(B100,"mmm")</f>
        <v>Jul</v>
      </c>
      <c r="D100" s="23" t="s">
        <v>508</v>
      </c>
      <c r="E100" s="26">
        <v>111</v>
      </c>
      <c r="F100" s="26">
        <v>50</v>
      </c>
      <c r="G100" s="26">
        <v>110</v>
      </c>
      <c r="H100" s="26">
        <v>66</v>
      </c>
      <c r="I100" s="7">
        <f t="shared" ref="I100:I131" si="10">E100+G100</f>
        <v>221</v>
      </c>
      <c r="J100" s="7">
        <f t="shared" ref="J100:J131" si="11">(E100-F100)+(G100-H100)</f>
        <v>105</v>
      </c>
    </row>
    <row r="101" spans="1:10" x14ac:dyDescent="0.2">
      <c r="A101" s="23" t="s">
        <v>607</v>
      </c>
      <c r="B101" s="24">
        <v>45850</v>
      </c>
      <c r="C101" s="25" t="str">
        <f t="shared" si="9"/>
        <v>Jul</v>
      </c>
      <c r="D101" s="23" t="s">
        <v>510</v>
      </c>
      <c r="E101" s="26">
        <v>847</v>
      </c>
      <c r="F101" s="26">
        <v>340</v>
      </c>
      <c r="G101" s="26">
        <v>81</v>
      </c>
      <c r="H101" s="26">
        <v>46</v>
      </c>
      <c r="I101" s="7">
        <f t="shared" si="10"/>
        <v>928</v>
      </c>
      <c r="J101" s="7">
        <f t="shared" si="11"/>
        <v>542</v>
      </c>
    </row>
    <row r="102" spans="1:10" x14ac:dyDescent="0.2">
      <c r="A102" s="23" t="s">
        <v>608</v>
      </c>
      <c r="B102" s="24">
        <v>45851</v>
      </c>
      <c r="C102" s="25" t="str">
        <f t="shared" si="9"/>
        <v>Jul</v>
      </c>
      <c r="D102" s="23" t="s">
        <v>510</v>
      </c>
      <c r="E102" s="26">
        <v>757</v>
      </c>
      <c r="F102" s="26">
        <v>326</v>
      </c>
      <c r="G102" s="26">
        <v>186</v>
      </c>
      <c r="H102" s="26">
        <v>120</v>
      </c>
      <c r="I102" s="7">
        <f t="shared" si="10"/>
        <v>943</v>
      </c>
      <c r="J102" s="7">
        <f t="shared" si="11"/>
        <v>497</v>
      </c>
    </row>
    <row r="103" spans="1:10" x14ac:dyDescent="0.2">
      <c r="A103" s="23" t="s">
        <v>609</v>
      </c>
      <c r="B103" s="24">
        <v>45855</v>
      </c>
      <c r="C103" s="25" t="str">
        <f t="shared" si="9"/>
        <v>Jul</v>
      </c>
      <c r="D103" s="23" t="s">
        <v>510</v>
      </c>
      <c r="E103" s="26">
        <v>245</v>
      </c>
      <c r="F103" s="26">
        <v>103</v>
      </c>
      <c r="G103" s="26">
        <v>669</v>
      </c>
      <c r="H103" s="26">
        <v>381</v>
      </c>
      <c r="I103" s="7">
        <f t="shared" si="10"/>
        <v>914</v>
      </c>
      <c r="J103" s="7">
        <f t="shared" si="11"/>
        <v>430</v>
      </c>
    </row>
    <row r="104" spans="1:10" x14ac:dyDescent="0.2">
      <c r="A104" s="23" t="s">
        <v>610</v>
      </c>
      <c r="B104" s="24">
        <v>45856</v>
      </c>
      <c r="C104" s="25" t="str">
        <f t="shared" si="9"/>
        <v>Jul</v>
      </c>
      <c r="D104" s="23" t="s">
        <v>508</v>
      </c>
      <c r="E104" s="26">
        <v>316</v>
      </c>
      <c r="F104" s="26">
        <v>137</v>
      </c>
      <c r="G104" s="26">
        <v>382</v>
      </c>
      <c r="H104" s="26">
        <v>275</v>
      </c>
      <c r="I104" s="7">
        <f t="shared" si="10"/>
        <v>698</v>
      </c>
      <c r="J104" s="7">
        <f t="shared" si="11"/>
        <v>286</v>
      </c>
    </row>
    <row r="105" spans="1:10" x14ac:dyDescent="0.2">
      <c r="A105" s="23" t="s">
        <v>611</v>
      </c>
      <c r="B105" s="24">
        <v>45856</v>
      </c>
      <c r="C105" s="25" t="str">
        <f t="shared" si="9"/>
        <v>Jul</v>
      </c>
      <c r="D105" s="23" t="s">
        <v>510</v>
      </c>
      <c r="E105" s="26">
        <v>873</v>
      </c>
      <c r="F105" s="26">
        <v>295</v>
      </c>
      <c r="G105" s="26">
        <v>506</v>
      </c>
      <c r="H105" s="26">
        <v>294</v>
      </c>
      <c r="I105" s="7">
        <f t="shared" si="10"/>
        <v>1379</v>
      </c>
      <c r="J105" s="7">
        <f t="shared" si="11"/>
        <v>790</v>
      </c>
    </row>
    <row r="106" spans="1:10" x14ac:dyDescent="0.2">
      <c r="A106" s="23" t="s">
        <v>612</v>
      </c>
      <c r="B106" s="24">
        <v>45858</v>
      </c>
      <c r="C106" s="25" t="str">
        <f t="shared" si="9"/>
        <v>Jul</v>
      </c>
      <c r="D106" s="23" t="s">
        <v>510</v>
      </c>
      <c r="E106" s="26">
        <v>289</v>
      </c>
      <c r="F106" s="26">
        <v>99</v>
      </c>
      <c r="G106" s="26">
        <v>266</v>
      </c>
      <c r="H106" s="26">
        <v>176</v>
      </c>
      <c r="I106" s="7">
        <f t="shared" si="10"/>
        <v>555</v>
      </c>
      <c r="J106" s="7">
        <f t="shared" si="11"/>
        <v>280</v>
      </c>
    </row>
    <row r="107" spans="1:10" x14ac:dyDescent="0.2">
      <c r="A107" s="23" t="s">
        <v>613</v>
      </c>
      <c r="B107" s="24">
        <v>45859</v>
      </c>
      <c r="C107" s="25" t="str">
        <f t="shared" si="9"/>
        <v>Jul</v>
      </c>
      <c r="D107" s="23" t="s">
        <v>508</v>
      </c>
      <c r="E107" s="26">
        <v>476</v>
      </c>
      <c r="F107" s="26">
        <v>175</v>
      </c>
      <c r="G107" s="26">
        <v>399</v>
      </c>
      <c r="H107" s="26">
        <v>289</v>
      </c>
      <c r="I107" s="7">
        <f t="shared" si="10"/>
        <v>875</v>
      </c>
      <c r="J107" s="7">
        <f t="shared" si="11"/>
        <v>411</v>
      </c>
    </row>
    <row r="108" spans="1:10" x14ac:dyDescent="0.2">
      <c r="A108" s="23" t="s">
        <v>614</v>
      </c>
      <c r="B108" s="24">
        <v>45861</v>
      </c>
      <c r="C108" s="25" t="str">
        <f t="shared" si="9"/>
        <v>Jul</v>
      </c>
      <c r="D108" s="23" t="s">
        <v>508</v>
      </c>
      <c r="E108" s="26">
        <v>329</v>
      </c>
      <c r="F108" s="26">
        <v>135</v>
      </c>
      <c r="G108" s="26">
        <v>249</v>
      </c>
      <c r="H108" s="26">
        <v>180</v>
      </c>
      <c r="I108" s="7">
        <f t="shared" si="10"/>
        <v>578</v>
      </c>
      <c r="J108" s="7">
        <f t="shared" si="11"/>
        <v>263</v>
      </c>
    </row>
    <row r="109" spans="1:10" x14ac:dyDescent="0.2">
      <c r="A109" s="23" t="s">
        <v>615</v>
      </c>
      <c r="B109" s="24">
        <v>45862</v>
      </c>
      <c r="C109" s="25" t="str">
        <f t="shared" si="9"/>
        <v>Jul</v>
      </c>
      <c r="D109" s="23" t="s">
        <v>510</v>
      </c>
      <c r="E109" s="26">
        <v>475</v>
      </c>
      <c r="F109" s="26">
        <v>166</v>
      </c>
      <c r="G109" s="26">
        <v>241</v>
      </c>
      <c r="H109" s="26">
        <v>150</v>
      </c>
      <c r="I109" s="7">
        <f t="shared" si="10"/>
        <v>716</v>
      </c>
      <c r="J109" s="7">
        <f t="shared" si="11"/>
        <v>400</v>
      </c>
    </row>
    <row r="110" spans="1:10" x14ac:dyDescent="0.2">
      <c r="A110" s="23" t="s">
        <v>616</v>
      </c>
      <c r="B110" s="24">
        <v>45865</v>
      </c>
      <c r="C110" s="25" t="str">
        <f t="shared" si="9"/>
        <v>Jul</v>
      </c>
      <c r="D110" s="23" t="s">
        <v>510</v>
      </c>
      <c r="E110" s="26">
        <v>871</v>
      </c>
      <c r="F110" s="26">
        <v>366</v>
      </c>
      <c r="G110" s="26">
        <v>347</v>
      </c>
      <c r="H110" s="26">
        <v>193</v>
      </c>
      <c r="I110" s="7">
        <f t="shared" si="10"/>
        <v>1218</v>
      </c>
      <c r="J110" s="7">
        <f t="shared" si="11"/>
        <v>659</v>
      </c>
    </row>
    <row r="111" spans="1:10" x14ac:dyDescent="0.2">
      <c r="A111" s="23" t="s">
        <v>617</v>
      </c>
      <c r="B111" s="24">
        <v>45866</v>
      </c>
      <c r="C111" s="25" t="str">
        <f t="shared" si="9"/>
        <v>Jul</v>
      </c>
      <c r="D111" s="23" t="s">
        <v>516</v>
      </c>
      <c r="E111" s="26">
        <v>56</v>
      </c>
      <c r="F111" s="26">
        <v>30</v>
      </c>
      <c r="G111" s="26">
        <v>173</v>
      </c>
      <c r="H111" s="26">
        <v>120</v>
      </c>
      <c r="I111" s="7">
        <f t="shared" si="10"/>
        <v>229</v>
      </c>
      <c r="J111" s="7">
        <f t="shared" si="11"/>
        <v>79</v>
      </c>
    </row>
    <row r="112" spans="1:10" x14ac:dyDescent="0.2">
      <c r="A112" s="23" t="s">
        <v>618</v>
      </c>
      <c r="B112" s="24">
        <v>45866</v>
      </c>
      <c r="C112" s="25" t="str">
        <f t="shared" si="9"/>
        <v>Jul</v>
      </c>
      <c r="D112" s="23" t="s">
        <v>508</v>
      </c>
      <c r="E112" s="26">
        <v>452</v>
      </c>
      <c r="F112" s="26">
        <v>213</v>
      </c>
      <c r="G112" s="26">
        <v>354</v>
      </c>
      <c r="H112" s="26">
        <v>248</v>
      </c>
      <c r="I112" s="7">
        <f t="shared" si="10"/>
        <v>806</v>
      </c>
      <c r="J112" s="7">
        <f t="shared" si="11"/>
        <v>345</v>
      </c>
    </row>
    <row r="113" spans="1:10" x14ac:dyDescent="0.2">
      <c r="A113" s="23" t="s">
        <v>619</v>
      </c>
      <c r="B113" s="24">
        <v>45866</v>
      </c>
      <c r="C113" s="25" t="str">
        <f t="shared" si="9"/>
        <v>Jul</v>
      </c>
      <c r="D113" s="23" t="s">
        <v>508</v>
      </c>
      <c r="E113" s="26">
        <v>187</v>
      </c>
      <c r="F113" s="26">
        <v>92</v>
      </c>
      <c r="G113" s="26">
        <v>121</v>
      </c>
      <c r="H113" s="26">
        <v>87</v>
      </c>
      <c r="I113" s="7">
        <f t="shared" si="10"/>
        <v>308</v>
      </c>
      <c r="J113" s="7">
        <f t="shared" si="11"/>
        <v>129</v>
      </c>
    </row>
    <row r="114" spans="1:10" x14ac:dyDescent="0.2">
      <c r="A114" s="23" t="s">
        <v>620</v>
      </c>
      <c r="B114" s="24">
        <v>45873</v>
      </c>
      <c r="C114" s="25" t="str">
        <f t="shared" si="9"/>
        <v>Aug</v>
      </c>
      <c r="D114" s="23" t="s">
        <v>510</v>
      </c>
      <c r="E114" s="26">
        <v>333</v>
      </c>
      <c r="F114" s="26">
        <v>106</v>
      </c>
      <c r="G114" s="26">
        <v>101</v>
      </c>
      <c r="H114" s="26">
        <v>59</v>
      </c>
      <c r="I114" s="7">
        <f t="shared" si="10"/>
        <v>434</v>
      </c>
      <c r="J114" s="7">
        <f t="shared" si="11"/>
        <v>269</v>
      </c>
    </row>
    <row r="115" spans="1:10" x14ac:dyDescent="0.2">
      <c r="A115" s="23" t="s">
        <v>621</v>
      </c>
      <c r="B115" s="24">
        <v>45875</v>
      </c>
      <c r="C115" s="25" t="str">
        <f t="shared" si="9"/>
        <v>Aug</v>
      </c>
      <c r="D115" s="23" t="s">
        <v>516</v>
      </c>
      <c r="E115" s="26">
        <v>257</v>
      </c>
      <c r="F115" s="26">
        <v>141</v>
      </c>
      <c r="G115" s="26">
        <v>227</v>
      </c>
      <c r="H115" s="26">
        <v>170</v>
      </c>
      <c r="I115" s="7">
        <f t="shared" si="10"/>
        <v>484</v>
      </c>
      <c r="J115" s="7">
        <f t="shared" si="11"/>
        <v>173</v>
      </c>
    </row>
    <row r="116" spans="1:10" x14ac:dyDescent="0.2">
      <c r="A116" s="23" t="s">
        <v>622</v>
      </c>
      <c r="B116" s="24">
        <v>45878</v>
      </c>
      <c r="C116" s="25" t="str">
        <f t="shared" si="9"/>
        <v>Aug</v>
      </c>
      <c r="D116" s="23" t="s">
        <v>516</v>
      </c>
      <c r="E116" s="26">
        <v>146</v>
      </c>
      <c r="F116" s="26">
        <v>74</v>
      </c>
      <c r="G116" s="26">
        <v>169</v>
      </c>
      <c r="H116" s="26">
        <v>122</v>
      </c>
      <c r="I116" s="7">
        <f t="shared" si="10"/>
        <v>315</v>
      </c>
      <c r="J116" s="7">
        <f t="shared" si="11"/>
        <v>119</v>
      </c>
    </row>
    <row r="117" spans="1:10" x14ac:dyDescent="0.2">
      <c r="A117" s="23" t="s">
        <v>623</v>
      </c>
      <c r="B117" s="24">
        <v>45881</v>
      </c>
      <c r="C117" s="25" t="str">
        <f t="shared" si="9"/>
        <v>Aug</v>
      </c>
      <c r="D117" s="23" t="s">
        <v>516</v>
      </c>
      <c r="E117" s="26">
        <v>295</v>
      </c>
      <c r="F117" s="26">
        <v>129</v>
      </c>
      <c r="G117" s="26">
        <v>41</v>
      </c>
      <c r="H117" s="26">
        <v>31</v>
      </c>
      <c r="I117" s="7">
        <f t="shared" si="10"/>
        <v>336</v>
      </c>
      <c r="J117" s="7">
        <f t="shared" si="11"/>
        <v>176</v>
      </c>
    </row>
    <row r="118" spans="1:10" x14ac:dyDescent="0.2">
      <c r="A118" s="23" t="s">
        <v>624</v>
      </c>
      <c r="B118" s="24">
        <v>45881</v>
      </c>
      <c r="C118" s="25" t="str">
        <f t="shared" si="9"/>
        <v>Aug</v>
      </c>
      <c r="D118" s="23" t="s">
        <v>510</v>
      </c>
      <c r="E118" s="26">
        <v>824</v>
      </c>
      <c r="F118" s="26">
        <v>354</v>
      </c>
      <c r="G118" s="26">
        <v>411</v>
      </c>
      <c r="H118" s="26">
        <v>263</v>
      </c>
      <c r="I118" s="7">
        <f t="shared" si="10"/>
        <v>1235</v>
      </c>
      <c r="J118" s="7">
        <f t="shared" si="11"/>
        <v>618</v>
      </c>
    </row>
    <row r="119" spans="1:10" x14ac:dyDescent="0.2">
      <c r="A119" s="23" t="s">
        <v>625</v>
      </c>
      <c r="B119" s="24">
        <v>45883</v>
      </c>
      <c r="C119" s="25" t="str">
        <f t="shared" si="9"/>
        <v>Aug</v>
      </c>
      <c r="D119" s="23" t="s">
        <v>510</v>
      </c>
      <c r="E119" s="26">
        <v>853</v>
      </c>
      <c r="F119" s="26">
        <v>321</v>
      </c>
      <c r="G119" s="26">
        <v>403</v>
      </c>
      <c r="H119" s="26">
        <v>247</v>
      </c>
      <c r="I119" s="7">
        <f t="shared" si="10"/>
        <v>1256</v>
      </c>
      <c r="J119" s="7">
        <f t="shared" si="11"/>
        <v>688</v>
      </c>
    </row>
    <row r="120" spans="1:10" x14ac:dyDescent="0.2">
      <c r="A120" s="23" t="s">
        <v>626</v>
      </c>
      <c r="B120" s="24">
        <v>45884</v>
      </c>
      <c r="C120" s="25" t="str">
        <f t="shared" si="9"/>
        <v>Aug</v>
      </c>
      <c r="D120" s="23" t="s">
        <v>510</v>
      </c>
      <c r="E120" s="26">
        <v>457</v>
      </c>
      <c r="F120" s="26">
        <v>194</v>
      </c>
      <c r="G120" s="26">
        <v>128</v>
      </c>
      <c r="H120" s="26">
        <v>82</v>
      </c>
      <c r="I120" s="7">
        <f t="shared" si="10"/>
        <v>585</v>
      </c>
      <c r="J120" s="7">
        <f t="shared" si="11"/>
        <v>309</v>
      </c>
    </row>
    <row r="121" spans="1:10" x14ac:dyDescent="0.2">
      <c r="A121" s="23" t="s">
        <v>627</v>
      </c>
      <c r="B121" s="24">
        <v>45884</v>
      </c>
      <c r="C121" s="25" t="str">
        <f t="shared" si="9"/>
        <v>Aug</v>
      </c>
      <c r="D121" s="23" t="s">
        <v>508</v>
      </c>
      <c r="E121" s="26">
        <v>100</v>
      </c>
      <c r="F121" s="26">
        <v>35</v>
      </c>
      <c r="G121" s="26">
        <v>150</v>
      </c>
      <c r="H121" s="26">
        <v>108</v>
      </c>
      <c r="I121" s="7">
        <f t="shared" si="10"/>
        <v>250</v>
      </c>
      <c r="J121" s="7">
        <f t="shared" si="11"/>
        <v>107</v>
      </c>
    </row>
    <row r="122" spans="1:10" x14ac:dyDescent="0.2">
      <c r="A122" s="23" t="s">
        <v>628</v>
      </c>
      <c r="B122" s="24">
        <v>45884</v>
      </c>
      <c r="C122" s="25" t="str">
        <f t="shared" si="9"/>
        <v>Aug</v>
      </c>
      <c r="D122" s="23" t="s">
        <v>510</v>
      </c>
      <c r="E122" s="26">
        <v>701</v>
      </c>
      <c r="F122" s="26">
        <v>225</v>
      </c>
      <c r="G122" s="26">
        <v>376</v>
      </c>
      <c r="H122" s="26">
        <v>248</v>
      </c>
      <c r="I122" s="7">
        <f t="shared" si="10"/>
        <v>1077</v>
      </c>
      <c r="J122" s="7">
        <f t="shared" si="11"/>
        <v>604</v>
      </c>
    </row>
    <row r="123" spans="1:10" x14ac:dyDescent="0.2">
      <c r="A123" s="23" t="s">
        <v>629</v>
      </c>
      <c r="B123" s="24">
        <v>45889</v>
      </c>
      <c r="C123" s="25" t="str">
        <f t="shared" si="9"/>
        <v>Aug</v>
      </c>
      <c r="D123" s="23" t="s">
        <v>510</v>
      </c>
      <c r="E123" s="26">
        <v>727</v>
      </c>
      <c r="F123" s="26">
        <v>274</v>
      </c>
      <c r="G123" s="26">
        <v>297</v>
      </c>
      <c r="H123" s="26">
        <v>195</v>
      </c>
      <c r="I123" s="7">
        <f t="shared" si="10"/>
        <v>1024</v>
      </c>
      <c r="J123" s="7">
        <f t="shared" si="11"/>
        <v>555</v>
      </c>
    </row>
    <row r="124" spans="1:10" x14ac:dyDescent="0.2">
      <c r="A124" s="23" t="s">
        <v>630</v>
      </c>
      <c r="B124" s="24">
        <v>45892</v>
      </c>
      <c r="C124" s="25" t="str">
        <f t="shared" si="9"/>
        <v>Aug</v>
      </c>
      <c r="D124" s="23" t="s">
        <v>516</v>
      </c>
      <c r="E124" s="26">
        <v>67</v>
      </c>
      <c r="F124" s="26">
        <v>35</v>
      </c>
      <c r="G124" s="26">
        <v>102</v>
      </c>
      <c r="H124" s="26">
        <v>75</v>
      </c>
      <c r="I124" s="7">
        <f t="shared" si="10"/>
        <v>169</v>
      </c>
      <c r="J124" s="7">
        <f t="shared" si="11"/>
        <v>59</v>
      </c>
    </row>
    <row r="125" spans="1:10" x14ac:dyDescent="0.2">
      <c r="A125" s="23" t="s">
        <v>631</v>
      </c>
      <c r="B125" s="24">
        <v>45901</v>
      </c>
      <c r="C125" s="25" t="str">
        <f t="shared" si="9"/>
        <v>Sep</v>
      </c>
      <c r="D125" s="23" t="s">
        <v>508</v>
      </c>
      <c r="E125" s="26">
        <v>396</v>
      </c>
      <c r="F125" s="26">
        <v>187</v>
      </c>
      <c r="G125" s="26">
        <v>176</v>
      </c>
      <c r="H125" s="26">
        <v>106</v>
      </c>
      <c r="I125" s="7">
        <f t="shared" si="10"/>
        <v>572</v>
      </c>
      <c r="J125" s="7">
        <f t="shared" si="11"/>
        <v>279</v>
      </c>
    </row>
    <row r="126" spans="1:10" x14ac:dyDescent="0.2">
      <c r="A126" s="23" t="s">
        <v>632</v>
      </c>
      <c r="B126" s="24">
        <v>45902</v>
      </c>
      <c r="C126" s="25" t="str">
        <f t="shared" si="9"/>
        <v>Sep</v>
      </c>
      <c r="D126" s="23" t="s">
        <v>508</v>
      </c>
      <c r="E126" s="26">
        <v>452</v>
      </c>
      <c r="F126" s="26">
        <v>200</v>
      </c>
      <c r="G126" s="26">
        <v>345</v>
      </c>
      <c r="H126" s="26">
        <v>226</v>
      </c>
      <c r="I126" s="7">
        <f t="shared" si="10"/>
        <v>797</v>
      </c>
      <c r="J126" s="7">
        <f t="shared" si="11"/>
        <v>371</v>
      </c>
    </row>
    <row r="127" spans="1:10" x14ac:dyDescent="0.2">
      <c r="A127" s="23" t="s">
        <v>633</v>
      </c>
      <c r="B127" s="24">
        <v>45904</v>
      </c>
      <c r="C127" s="25" t="str">
        <f t="shared" si="9"/>
        <v>Sep</v>
      </c>
      <c r="D127" s="23" t="s">
        <v>508</v>
      </c>
      <c r="E127" s="26">
        <v>303</v>
      </c>
      <c r="F127" s="26">
        <v>126</v>
      </c>
      <c r="G127" s="26">
        <v>225</v>
      </c>
      <c r="H127" s="26">
        <v>152</v>
      </c>
      <c r="I127" s="7">
        <f t="shared" si="10"/>
        <v>528</v>
      </c>
      <c r="J127" s="7">
        <f t="shared" si="11"/>
        <v>250</v>
      </c>
    </row>
    <row r="128" spans="1:10" x14ac:dyDescent="0.2">
      <c r="A128" s="23" t="s">
        <v>634</v>
      </c>
      <c r="B128" s="24">
        <v>45905</v>
      </c>
      <c r="C128" s="25" t="str">
        <f t="shared" si="9"/>
        <v>Sep</v>
      </c>
      <c r="D128" s="23" t="s">
        <v>516</v>
      </c>
      <c r="E128" s="26">
        <v>260</v>
      </c>
      <c r="F128" s="26">
        <v>108</v>
      </c>
      <c r="G128" s="26">
        <v>250</v>
      </c>
      <c r="H128" s="26">
        <v>193</v>
      </c>
      <c r="I128" s="7">
        <f t="shared" si="10"/>
        <v>510</v>
      </c>
      <c r="J128" s="7">
        <f t="shared" si="11"/>
        <v>209</v>
      </c>
    </row>
    <row r="129" spans="1:10" x14ac:dyDescent="0.2">
      <c r="A129" s="23" t="s">
        <v>635</v>
      </c>
      <c r="B129" s="24">
        <v>45905</v>
      </c>
      <c r="C129" s="25" t="str">
        <f t="shared" si="9"/>
        <v>Sep</v>
      </c>
      <c r="D129" s="23" t="s">
        <v>508</v>
      </c>
      <c r="E129" s="26">
        <v>106</v>
      </c>
      <c r="F129" s="26">
        <v>52</v>
      </c>
      <c r="G129" s="26">
        <v>153</v>
      </c>
      <c r="H129" s="26">
        <v>110</v>
      </c>
      <c r="I129" s="7">
        <f t="shared" si="10"/>
        <v>259</v>
      </c>
      <c r="J129" s="7">
        <f t="shared" si="11"/>
        <v>97</v>
      </c>
    </row>
    <row r="130" spans="1:10" x14ac:dyDescent="0.2">
      <c r="A130" s="23" t="s">
        <v>636</v>
      </c>
      <c r="B130" s="24">
        <v>45905</v>
      </c>
      <c r="C130" s="25" t="str">
        <f t="shared" si="9"/>
        <v>Sep</v>
      </c>
      <c r="D130" s="23" t="s">
        <v>510</v>
      </c>
      <c r="E130" s="26">
        <v>707</v>
      </c>
      <c r="F130" s="26">
        <v>245</v>
      </c>
      <c r="G130" s="26">
        <v>452</v>
      </c>
      <c r="H130" s="26">
        <v>315</v>
      </c>
      <c r="I130" s="7">
        <f t="shared" si="10"/>
        <v>1159</v>
      </c>
      <c r="J130" s="7">
        <f t="shared" si="11"/>
        <v>599</v>
      </c>
    </row>
    <row r="131" spans="1:10" x14ac:dyDescent="0.2">
      <c r="A131" s="23" t="s">
        <v>637</v>
      </c>
      <c r="B131" s="24">
        <v>45906</v>
      </c>
      <c r="C131" s="25" t="str">
        <f t="shared" si="9"/>
        <v>Sep</v>
      </c>
      <c r="D131" s="23" t="s">
        <v>510</v>
      </c>
      <c r="E131" s="26">
        <v>567</v>
      </c>
      <c r="F131" s="26">
        <v>210</v>
      </c>
      <c r="G131" s="26">
        <v>254</v>
      </c>
      <c r="H131" s="26">
        <v>168</v>
      </c>
      <c r="I131" s="7">
        <f t="shared" si="10"/>
        <v>821</v>
      </c>
      <c r="J131" s="7">
        <f t="shared" si="11"/>
        <v>443</v>
      </c>
    </row>
    <row r="132" spans="1:10" x14ac:dyDescent="0.2">
      <c r="A132" s="23" t="s">
        <v>638</v>
      </c>
      <c r="B132" s="24">
        <v>45907</v>
      </c>
      <c r="C132" s="25" t="str">
        <f t="shared" ref="C132:C163" si="12">TEXT(B132,"mmm")</f>
        <v>Sep</v>
      </c>
      <c r="D132" s="23" t="s">
        <v>510</v>
      </c>
      <c r="E132" s="26">
        <v>544</v>
      </c>
      <c r="F132" s="26">
        <v>191</v>
      </c>
      <c r="G132" s="26">
        <v>428</v>
      </c>
      <c r="H132" s="26">
        <v>255</v>
      </c>
      <c r="I132" s="7">
        <f t="shared" ref="I132:I163" si="13">E132+G132</f>
        <v>972</v>
      </c>
      <c r="J132" s="7">
        <f t="shared" ref="J132:J163" si="14">(E132-F132)+(G132-H132)</f>
        <v>526</v>
      </c>
    </row>
    <row r="133" spans="1:10" x14ac:dyDescent="0.2">
      <c r="A133" s="23" t="s">
        <v>639</v>
      </c>
      <c r="B133" s="24">
        <v>45907</v>
      </c>
      <c r="C133" s="25" t="str">
        <f t="shared" si="12"/>
        <v>Sep</v>
      </c>
      <c r="D133" s="23" t="s">
        <v>510</v>
      </c>
      <c r="E133" s="26">
        <v>420</v>
      </c>
      <c r="F133" s="26">
        <v>145</v>
      </c>
      <c r="G133" s="26">
        <v>65</v>
      </c>
      <c r="H133" s="26">
        <v>37</v>
      </c>
      <c r="I133" s="7">
        <f t="shared" si="13"/>
        <v>485</v>
      </c>
      <c r="J133" s="7">
        <f t="shared" si="14"/>
        <v>303</v>
      </c>
    </row>
    <row r="134" spans="1:10" x14ac:dyDescent="0.2">
      <c r="A134" s="23" t="s">
        <v>640</v>
      </c>
      <c r="B134" s="24">
        <v>45909</v>
      </c>
      <c r="C134" s="25" t="str">
        <f t="shared" si="12"/>
        <v>Sep</v>
      </c>
      <c r="D134" s="23" t="s">
        <v>516</v>
      </c>
      <c r="E134" s="26">
        <v>169</v>
      </c>
      <c r="F134" s="26">
        <v>71</v>
      </c>
      <c r="G134" s="26">
        <v>177</v>
      </c>
      <c r="H134" s="26">
        <v>134</v>
      </c>
      <c r="I134" s="7">
        <f t="shared" si="13"/>
        <v>346</v>
      </c>
      <c r="J134" s="7">
        <f t="shared" si="14"/>
        <v>141</v>
      </c>
    </row>
    <row r="135" spans="1:10" x14ac:dyDescent="0.2">
      <c r="A135" s="23" t="s">
        <v>641</v>
      </c>
      <c r="B135" s="24">
        <v>45911</v>
      </c>
      <c r="C135" s="25" t="str">
        <f t="shared" si="12"/>
        <v>Sep</v>
      </c>
      <c r="D135" s="23" t="s">
        <v>508</v>
      </c>
      <c r="E135" s="26">
        <v>149</v>
      </c>
      <c r="F135" s="26">
        <v>70</v>
      </c>
      <c r="G135" s="26">
        <v>390</v>
      </c>
      <c r="H135" s="26">
        <v>261</v>
      </c>
      <c r="I135" s="7">
        <f t="shared" si="13"/>
        <v>539</v>
      </c>
      <c r="J135" s="7">
        <f t="shared" si="14"/>
        <v>208</v>
      </c>
    </row>
    <row r="136" spans="1:10" x14ac:dyDescent="0.2">
      <c r="A136" s="23" t="s">
        <v>642</v>
      </c>
      <c r="B136" s="24">
        <v>45914</v>
      </c>
      <c r="C136" s="25" t="str">
        <f t="shared" si="12"/>
        <v>Sep</v>
      </c>
      <c r="D136" s="23" t="s">
        <v>510</v>
      </c>
      <c r="E136" s="26">
        <v>315</v>
      </c>
      <c r="F136" s="26">
        <v>106</v>
      </c>
      <c r="G136" s="26">
        <v>404</v>
      </c>
      <c r="H136" s="26">
        <v>231</v>
      </c>
      <c r="I136" s="7">
        <f t="shared" si="13"/>
        <v>719</v>
      </c>
      <c r="J136" s="7">
        <f t="shared" si="14"/>
        <v>382</v>
      </c>
    </row>
    <row r="137" spans="1:10" x14ac:dyDescent="0.2">
      <c r="A137" s="23" t="s">
        <v>643</v>
      </c>
      <c r="B137" s="24">
        <v>45916</v>
      </c>
      <c r="C137" s="25" t="str">
        <f t="shared" si="12"/>
        <v>Sep</v>
      </c>
      <c r="D137" s="23" t="s">
        <v>510</v>
      </c>
      <c r="E137" s="26">
        <v>851</v>
      </c>
      <c r="F137" s="26">
        <v>337</v>
      </c>
      <c r="G137" s="26">
        <v>342</v>
      </c>
      <c r="H137" s="26">
        <v>206</v>
      </c>
      <c r="I137" s="7">
        <f t="shared" si="13"/>
        <v>1193</v>
      </c>
      <c r="J137" s="7">
        <f t="shared" si="14"/>
        <v>650</v>
      </c>
    </row>
    <row r="138" spans="1:10" x14ac:dyDescent="0.2">
      <c r="A138" s="23" t="s">
        <v>644</v>
      </c>
      <c r="B138" s="24">
        <v>45917</v>
      </c>
      <c r="C138" s="25" t="str">
        <f t="shared" si="12"/>
        <v>Sep</v>
      </c>
      <c r="D138" s="23" t="s">
        <v>508</v>
      </c>
      <c r="E138" s="26">
        <v>246</v>
      </c>
      <c r="F138" s="26">
        <v>99</v>
      </c>
      <c r="G138" s="26">
        <v>184</v>
      </c>
      <c r="H138" s="26">
        <v>121</v>
      </c>
      <c r="I138" s="7">
        <f t="shared" si="13"/>
        <v>430</v>
      </c>
      <c r="J138" s="7">
        <f t="shared" si="14"/>
        <v>210</v>
      </c>
    </row>
    <row r="139" spans="1:10" x14ac:dyDescent="0.2">
      <c r="A139" s="23" t="s">
        <v>645</v>
      </c>
      <c r="B139" s="24">
        <v>45918</v>
      </c>
      <c r="C139" s="25" t="str">
        <f t="shared" si="12"/>
        <v>Sep</v>
      </c>
      <c r="D139" s="23" t="s">
        <v>510</v>
      </c>
      <c r="E139" s="26">
        <v>561</v>
      </c>
      <c r="F139" s="26">
        <v>171</v>
      </c>
      <c r="G139" s="26">
        <v>446</v>
      </c>
      <c r="H139" s="26">
        <v>310</v>
      </c>
      <c r="I139" s="7">
        <f t="shared" si="13"/>
        <v>1007</v>
      </c>
      <c r="J139" s="7">
        <f t="shared" si="14"/>
        <v>526</v>
      </c>
    </row>
    <row r="140" spans="1:10" x14ac:dyDescent="0.2">
      <c r="A140" s="23" t="s">
        <v>646</v>
      </c>
      <c r="B140" s="24">
        <v>45921</v>
      </c>
      <c r="C140" s="25" t="str">
        <f t="shared" si="12"/>
        <v>Sep</v>
      </c>
      <c r="D140" s="23" t="s">
        <v>510</v>
      </c>
      <c r="E140" s="26">
        <v>602</v>
      </c>
      <c r="F140" s="26">
        <v>198</v>
      </c>
      <c r="G140" s="26">
        <v>407</v>
      </c>
      <c r="H140" s="26">
        <v>245</v>
      </c>
      <c r="I140" s="7">
        <f t="shared" si="13"/>
        <v>1009</v>
      </c>
      <c r="J140" s="7">
        <f t="shared" si="14"/>
        <v>566</v>
      </c>
    </row>
    <row r="141" spans="1:10" x14ac:dyDescent="0.2">
      <c r="A141" s="23" t="s">
        <v>647</v>
      </c>
      <c r="B141" s="24">
        <v>45921</v>
      </c>
      <c r="C141" s="25" t="str">
        <f t="shared" si="12"/>
        <v>Sep</v>
      </c>
      <c r="D141" s="23" t="s">
        <v>508</v>
      </c>
      <c r="E141" s="26">
        <v>456</v>
      </c>
      <c r="F141" s="26">
        <v>217</v>
      </c>
      <c r="G141" s="26">
        <v>115</v>
      </c>
      <c r="H141" s="26">
        <v>83</v>
      </c>
      <c r="I141" s="7">
        <f t="shared" si="13"/>
        <v>571</v>
      </c>
      <c r="J141" s="7">
        <f t="shared" si="14"/>
        <v>271</v>
      </c>
    </row>
    <row r="142" spans="1:10" x14ac:dyDescent="0.2">
      <c r="A142" s="23" t="s">
        <v>648</v>
      </c>
      <c r="B142" s="24">
        <v>45921</v>
      </c>
      <c r="C142" s="25" t="str">
        <f t="shared" si="12"/>
        <v>Sep</v>
      </c>
      <c r="D142" s="23" t="s">
        <v>510</v>
      </c>
      <c r="E142" s="26">
        <v>347</v>
      </c>
      <c r="F142" s="26">
        <v>122</v>
      </c>
      <c r="G142" s="26">
        <v>559</v>
      </c>
      <c r="H142" s="26">
        <v>346</v>
      </c>
      <c r="I142" s="7">
        <f t="shared" si="13"/>
        <v>906</v>
      </c>
      <c r="J142" s="7">
        <f t="shared" si="14"/>
        <v>438</v>
      </c>
    </row>
    <row r="143" spans="1:10" x14ac:dyDescent="0.2">
      <c r="A143" s="23" t="s">
        <v>649</v>
      </c>
      <c r="B143" s="24">
        <v>45923</v>
      </c>
      <c r="C143" s="25" t="str">
        <f t="shared" si="12"/>
        <v>Sep</v>
      </c>
      <c r="D143" s="23" t="s">
        <v>508</v>
      </c>
      <c r="E143" s="26">
        <v>413</v>
      </c>
      <c r="F143" s="26">
        <v>151</v>
      </c>
      <c r="G143" s="26">
        <v>191</v>
      </c>
      <c r="H143" s="26">
        <v>125</v>
      </c>
      <c r="I143" s="7">
        <f t="shared" si="13"/>
        <v>604</v>
      </c>
      <c r="J143" s="7">
        <f t="shared" si="14"/>
        <v>328</v>
      </c>
    </row>
    <row r="144" spans="1:10" x14ac:dyDescent="0.2">
      <c r="A144" s="23" t="s">
        <v>650</v>
      </c>
      <c r="B144" s="24">
        <v>45924</v>
      </c>
      <c r="C144" s="25" t="str">
        <f t="shared" si="12"/>
        <v>Sep</v>
      </c>
      <c r="D144" s="23" t="s">
        <v>508</v>
      </c>
      <c r="E144" s="26">
        <v>276</v>
      </c>
      <c r="F144" s="26">
        <v>101</v>
      </c>
      <c r="G144" s="26">
        <v>187</v>
      </c>
      <c r="H144" s="26">
        <v>118</v>
      </c>
      <c r="I144" s="7">
        <f t="shared" si="13"/>
        <v>463</v>
      </c>
      <c r="J144" s="7">
        <f t="shared" si="14"/>
        <v>244</v>
      </c>
    </row>
    <row r="145" spans="1:10" x14ac:dyDescent="0.2">
      <c r="A145" s="23" t="s">
        <v>651</v>
      </c>
      <c r="B145" s="24">
        <v>45928</v>
      </c>
      <c r="C145" s="25" t="str">
        <f t="shared" si="12"/>
        <v>Sep</v>
      </c>
      <c r="D145" s="23" t="s">
        <v>510</v>
      </c>
      <c r="E145" s="26">
        <v>165</v>
      </c>
      <c r="F145" s="26">
        <v>68</v>
      </c>
      <c r="G145" s="26">
        <v>329</v>
      </c>
      <c r="H145" s="26">
        <v>203</v>
      </c>
      <c r="I145" s="7">
        <f t="shared" si="13"/>
        <v>494</v>
      </c>
      <c r="J145" s="7">
        <f t="shared" si="14"/>
        <v>223</v>
      </c>
    </row>
    <row r="146" spans="1:10" x14ac:dyDescent="0.2">
      <c r="A146" s="23" t="s">
        <v>652</v>
      </c>
      <c r="B146" s="24">
        <v>45931</v>
      </c>
      <c r="C146" s="25" t="str">
        <f t="shared" si="12"/>
        <v>Oct</v>
      </c>
      <c r="D146" s="23" t="s">
        <v>510</v>
      </c>
      <c r="E146" s="26">
        <v>228</v>
      </c>
      <c r="F146" s="26">
        <v>102</v>
      </c>
      <c r="G146" s="26">
        <v>603</v>
      </c>
      <c r="H146" s="26">
        <v>354</v>
      </c>
      <c r="I146" s="7">
        <f t="shared" si="13"/>
        <v>831</v>
      </c>
      <c r="J146" s="7">
        <f t="shared" si="14"/>
        <v>375</v>
      </c>
    </row>
    <row r="147" spans="1:10" x14ac:dyDescent="0.2">
      <c r="A147" s="23" t="s">
        <v>653</v>
      </c>
      <c r="B147" s="24">
        <v>45932</v>
      </c>
      <c r="C147" s="25" t="str">
        <f t="shared" si="12"/>
        <v>Oct</v>
      </c>
      <c r="D147" s="23" t="s">
        <v>508</v>
      </c>
      <c r="E147" s="26">
        <v>199</v>
      </c>
      <c r="F147" s="26">
        <v>82</v>
      </c>
      <c r="G147" s="26">
        <v>257</v>
      </c>
      <c r="H147" s="26">
        <v>172</v>
      </c>
      <c r="I147" s="7">
        <f t="shared" si="13"/>
        <v>456</v>
      </c>
      <c r="J147" s="7">
        <f t="shared" si="14"/>
        <v>202</v>
      </c>
    </row>
    <row r="148" spans="1:10" x14ac:dyDescent="0.2">
      <c r="A148" s="23" t="s">
        <v>654</v>
      </c>
      <c r="B148" s="24">
        <v>45932</v>
      </c>
      <c r="C148" s="25" t="str">
        <f t="shared" si="12"/>
        <v>Oct</v>
      </c>
      <c r="D148" s="23" t="s">
        <v>516</v>
      </c>
      <c r="E148" s="26">
        <v>126</v>
      </c>
      <c r="F148" s="26">
        <v>65</v>
      </c>
      <c r="G148" s="26">
        <v>170</v>
      </c>
      <c r="H148" s="26">
        <v>128</v>
      </c>
      <c r="I148" s="7">
        <f t="shared" si="13"/>
        <v>296</v>
      </c>
      <c r="J148" s="7">
        <f t="shared" si="14"/>
        <v>103</v>
      </c>
    </row>
    <row r="149" spans="1:10" x14ac:dyDescent="0.2">
      <c r="A149" s="23" t="s">
        <v>655</v>
      </c>
      <c r="B149" s="24">
        <v>45933</v>
      </c>
      <c r="C149" s="25" t="str">
        <f t="shared" si="12"/>
        <v>Oct</v>
      </c>
      <c r="D149" s="23" t="s">
        <v>510</v>
      </c>
      <c r="E149" s="26">
        <v>432</v>
      </c>
      <c r="F149" s="26">
        <v>174</v>
      </c>
      <c r="G149" s="26">
        <v>604</v>
      </c>
      <c r="H149" s="26">
        <v>422</v>
      </c>
      <c r="I149" s="7">
        <f t="shared" si="13"/>
        <v>1036</v>
      </c>
      <c r="J149" s="7">
        <f t="shared" si="14"/>
        <v>440</v>
      </c>
    </row>
    <row r="150" spans="1:10" x14ac:dyDescent="0.2">
      <c r="A150" s="23" t="s">
        <v>656</v>
      </c>
      <c r="B150" s="24">
        <v>45937</v>
      </c>
      <c r="C150" s="25" t="str">
        <f t="shared" si="12"/>
        <v>Oct</v>
      </c>
      <c r="D150" s="23" t="s">
        <v>508</v>
      </c>
      <c r="E150" s="26">
        <v>179</v>
      </c>
      <c r="F150" s="26">
        <v>71</v>
      </c>
      <c r="G150" s="26">
        <v>115</v>
      </c>
      <c r="H150" s="26">
        <v>82</v>
      </c>
      <c r="I150" s="7">
        <f t="shared" si="13"/>
        <v>294</v>
      </c>
      <c r="J150" s="7">
        <f t="shared" si="14"/>
        <v>141</v>
      </c>
    </row>
    <row r="151" spans="1:10" x14ac:dyDescent="0.2">
      <c r="A151" s="23" t="s">
        <v>657</v>
      </c>
      <c r="B151" s="24">
        <v>45940</v>
      </c>
      <c r="C151" s="25" t="str">
        <f t="shared" si="12"/>
        <v>Oct</v>
      </c>
      <c r="D151" s="23" t="s">
        <v>508</v>
      </c>
      <c r="E151" s="26">
        <v>311</v>
      </c>
      <c r="F151" s="26">
        <v>118</v>
      </c>
      <c r="G151" s="26">
        <v>109</v>
      </c>
      <c r="H151" s="26">
        <v>79</v>
      </c>
      <c r="I151" s="7">
        <f t="shared" si="13"/>
        <v>420</v>
      </c>
      <c r="J151" s="7">
        <f t="shared" si="14"/>
        <v>223</v>
      </c>
    </row>
    <row r="152" spans="1:10" x14ac:dyDescent="0.2">
      <c r="A152" s="23" t="s">
        <v>658</v>
      </c>
      <c r="B152" s="24">
        <v>45940</v>
      </c>
      <c r="C152" s="25" t="str">
        <f t="shared" si="12"/>
        <v>Oct</v>
      </c>
      <c r="D152" s="23" t="s">
        <v>508</v>
      </c>
      <c r="E152" s="26">
        <v>431</v>
      </c>
      <c r="F152" s="26">
        <v>207</v>
      </c>
      <c r="G152" s="26">
        <v>362</v>
      </c>
      <c r="H152" s="26">
        <v>218</v>
      </c>
      <c r="I152" s="7">
        <f t="shared" si="13"/>
        <v>793</v>
      </c>
      <c r="J152" s="7">
        <f t="shared" si="14"/>
        <v>368</v>
      </c>
    </row>
    <row r="153" spans="1:10" x14ac:dyDescent="0.2">
      <c r="A153" s="23" t="s">
        <v>659</v>
      </c>
      <c r="B153" s="24">
        <v>45941</v>
      </c>
      <c r="C153" s="25" t="str">
        <f t="shared" si="12"/>
        <v>Oct</v>
      </c>
      <c r="D153" s="23" t="s">
        <v>516</v>
      </c>
      <c r="E153" s="26">
        <v>191</v>
      </c>
      <c r="F153" s="26">
        <v>80</v>
      </c>
      <c r="G153" s="26">
        <v>37</v>
      </c>
      <c r="H153" s="26">
        <v>26</v>
      </c>
      <c r="I153" s="7">
        <f t="shared" si="13"/>
        <v>228</v>
      </c>
      <c r="J153" s="7">
        <f t="shared" si="14"/>
        <v>122</v>
      </c>
    </row>
    <row r="154" spans="1:10" x14ac:dyDescent="0.2">
      <c r="A154" s="23" t="s">
        <v>660</v>
      </c>
      <c r="B154" s="24">
        <v>45941</v>
      </c>
      <c r="C154" s="25" t="str">
        <f t="shared" si="12"/>
        <v>Oct</v>
      </c>
      <c r="D154" s="23" t="s">
        <v>508</v>
      </c>
      <c r="E154" s="26">
        <v>348</v>
      </c>
      <c r="F154" s="26">
        <v>123</v>
      </c>
      <c r="G154" s="26">
        <v>54</v>
      </c>
      <c r="H154" s="26">
        <v>33</v>
      </c>
      <c r="I154" s="7">
        <f t="shared" si="13"/>
        <v>402</v>
      </c>
      <c r="J154" s="7">
        <f t="shared" si="14"/>
        <v>246</v>
      </c>
    </row>
    <row r="155" spans="1:10" x14ac:dyDescent="0.2">
      <c r="A155" s="23" t="s">
        <v>661</v>
      </c>
      <c r="B155" s="24">
        <v>45942</v>
      </c>
      <c r="C155" s="25" t="str">
        <f t="shared" si="12"/>
        <v>Oct</v>
      </c>
      <c r="D155" s="23" t="s">
        <v>510</v>
      </c>
      <c r="E155" s="26">
        <v>644</v>
      </c>
      <c r="F155" s="26">
        <v>205</v>
      </c>
      <c r="G155" s="26">
        <v>138</v>
      </c>
      <c r="H155" s="26">
        <v>77</v>
      </c>
      <c r="I155" s="7">
        <f t="shared" si="13"/>
        <v>782</v>
      </c>
      <c r="J155" s="7">
        <f t="shared" si="14"/>
        <v>500</v>
      </c>
    </row>
    <row r="156" spans="1:10" x14ac:dyDescent="0.2">
      <c r="A156" s="23" t="s">
        <v>662</v>
      </c>
      <c r="B156" s="24">
        <v>45947</v>
      </c>
      <c r="C156" s="25" t="str">
        <f t="shared" si="12"/>
        <v>Oct</v>
      </c>
      <c r="D156" s="23" t="s">
        <v>510</v>
      </c>
      <c r="E156" s="26">
        <v>597</v>
      </c>
      <c r="F156" s="26">
        <v>233</v>
      </c>
      <c r="G156" s="26">
        <v>151</v>
      </c>
      <c r="H156" s="26">
        <v>101</v>
      </c>
      <c r="I156" s="7">
        <f t="shared" si="13"/>
        <v>748</v>
      </c>
      <c r="J156" s="7">
        <f t="shared" si="14"/>
        <v>414</v>
      </c>
    </row>
    <row r="157" spans="1:10" x14ac:dyDescent="0.2">
      <c r="A157" s="23" t="s">
        <v>663</v>
      </c>
      <c r="B157" s="24">
        <v>45948</v>
      </c>
      <c r="C157" s="25" t="str">
        <f t="shared" si="12"/>
        <v>Oct</v>
      </c>
      <c r="D157" s="23" t="s">
        <v>508</v>
      </c>
      <c r="E157" s="26">
        <v>403</v>
      </c>
      <c r="F157" s="26">
        <v>148</v>
      </c>
      <c r="G157" s="26">
        <v>221</v>
      </c>
      <c r="H157" s="26">
        <v>161</v>
      </c>
      <c r="I157" s="7">
        <f t="shared" si="13"/>
        <v>624</v>
      </c>
      <c r="J157" s="7">
        <f t="shared" si="14"/>
        <v>315</v>
      </c>
    </row>
    <row r="158" spans="1:10" x14ac:dyDescent="0.2">
      <c r="A158" s="23" t="s">
        <v>664</v>
      </c>
      <c r="B158" s="24">
        <v>45951</v>
      </c>
      <c r="C158" s="25" t="str">
        <f t="shared" si="12"/>
        <v>Oct</v>
      </c>
      <c r="D158" s="23" t="s">
        <v>508</v>
      </c>
      <c r="E158" s="26">
        <v>375</v>
      </c>
      <c r="F158" s="26">
        <v>182</v>
      </c>
      <c r="G158" s="26">
        <v>377</v>
      </c>
      <c r="H158" s="26">
        <v>253</v>
      </c>
      <c r="I158" s="7">
        <f t="shared" si="13"/>
        <v>752</v>
      </c>
      <c r="J158" s="7">
        <f t="shared" si="14"/>
        <v>317</v>
      </c>
    </row>
    <row r="159" spans="1:10" x14ac:dyDescent="0.2">
      <c r="A159" s="23" t="s">
        <v>665</v>
      </c>
      <c r="B159" s="24">
        <v>45952</v>
      </c>
      <c r="C159" s="25" t="str">
        <f t="shared" si="12"/>
        <v>Oct</v>
      </c>
      <c r="D159" s="23" t="s">
        <v>510</v>
      </c>
      <c r="E159" s="26">
        <v>225</v>
      </c>
      <c r="F159" s="26">
        <v>92</v>
      </c>
      <c r="G159" s="26">
        <v>81</v>
      </c>
      <c r="H159" s="26">
        <v>45</v>
      </c>
      <c r="I159" s="7">
        <f t="shared" si="13"/>
        <v>306</v>
      </c>
      <c r="J159" s="7">
        <f t="shared" si="14"/>
        <v>169</v>
      </c>
    </row>
    <row r="160" spans="1:10" x14ac:dyDescent="0.2">
      <c r="A160" s="23" t="s">
        <v>666</v>
      </c>
      <c r="B160" s="24">
        <v>45952</v>
      </c>
      <c r="C160" s="25" t="str">
        <f t="shared" si="12"/>
        <v>Oct</v>
      </c>
      <c r="D160" s="23" t="s">
        <v>508</v>
      </c>
      <c r="E160" s="26">
        <v>77</v>
      </c>
      <c r="F160" s="26">
        <v>28</v>
      </c>
      <c r="G160" s="26">
        <v>160</v>
      </c>
      <c r="H160" s="26">
        <v>114</v>
      </c>
      <c r="I160" s="7">
        <f t="shared" si="13"/>
        <v>237</v>
      </c>
      <c r="J160" s="7">
        <f t="shared" si="14"/>
        <v>95</v>
      </c>
    </row>
    <row r="161" spans="1:10" x14ac:dyDescent="0.2">
      <c r="A161" s="23" t="s">
        <v>667</v>
      </c>
      <c r="B161" s="24">
        <v>45954</v>
      </c>
      <c r="C161" s="25" t="str">
        <f t="shared" si="12"/>
        <v>Oct</v>
      </c>
      <c r="D161" s="23" t="s">
        <v>510</v>
      </c>
      <c r="E161" s="26">
        <v>861</v>
      </c>
      <c r="F161" s="26">
        <v>278</v>
      </c>
      <c r="G161" s="26">
        <v>577</v>
      </c>
      <c r="H161" s="26">
        <v>357</v>
      </c>
      <c r="I161" s="7">
        <f t="shared" si="13"/>
        <v>1438</v>
      </c>
      <c r="J161" s="7">
        <f t="shared" si="14"/>
        <v>803</v>
      </c>
    </row>
    <row r="162" spans="1:10" x14ac:dyDescent="0.2">
      <c r="A162" s="23" t="s">
        <v>668</v>
      </c>
      <c r="B162" s="24">
        <v>45954</v>
      </c>
      <c r="C162" s="25" t="str">
        <f t="shared" si="12"/>
        <v>Oct</v>
      </c>
      <c r="D162" s="23" t="s">
        <v>516</v>
      </c>
      <c r="E162" s="26">
        <v>248</v>
      </c>
      <c r="F162" s="26">
        <v>119</v>
      </c>
      <c r="G162" s="26">
        <v>32</v>
      </c>
      <c r="H162" s="26">
        <v>25</v>
      </c>
      <c r="I162" s="7">
        <f t="shared" si="13"/>
        <v>280</v>
      </c>
      <c r="J162" s="7">
        <f t="shared" si="14"/>
        <v>136</v>
      </c>
    </row>
    <row r="163" spans="1:10" x14ac:dyDescent="0.2">
      <c r="A163" s="23" t="s">
        <v>669</v>
      </c>
      <c r="B163" s="24">
        <v>45954</v>
      </c>
      <c r="C163" s="25" t="str">
        <f t="shared" si="12"/>
        <v>Oct</v>
      </c>
      <c r="D163" s="23" t="s">
        <v>510</v>
      </c>
      <c r="E163" s="26">
        <v>236</v>
      </c>
      <c r="F163" s="26">
        <v>77</v>
      </c>
      <c r="G163" s="26">
        <v>285</v>
      </c>
      <c r="H163" s="26">
        <v>172</v>
      </c>
      <c r="I163" s="7">
        <f t="shared" si="13"/>
        <v>521</v>
      </c>
      <c r="J163" s="7">
        <f t="shared" si="14"/>
        <v>272</v>
      </c>
    </row>
    <row r="164" spans="1:10" x14ac:dyDescent="0.2">
      <c r="A164" s="23" t="s">
        <v>670</v>
      </c>
      <c r="B164" s="24">
        <v>45955</v>
      </c>
      <c r="C164" s="25" t="str">
        <f t="shared" ref="C164:C195" si="15">TEXT(B164,"mmm")</f>
        <v>Oct</v>
      </c>
      <c r="D164" s="23" t="s">
        <v>508</v>
      </c>
      <c r="E164" s="26">
        <v>408</v>
      </c>
      <c r="F164" s="26">
        <v>199</v>
      </c>
      <c r="G164" s="26">
        <v>329</v>
      </c>
      <c r="H164" s="26">
        <v>229</v>
      </c>
      <c r="I164" s="7">
        <f t="shared" ref="I164:I195" si="16">E164+G164</f>
        <v>737</v>
      </c>
      <c r="J164" s="7">
        <f t="shared" ref="J164:J195" si="17">(E164-F164)+(G164-H164)</f>
        <v>309</v>
      </c>
    </row>
    <row r="165" spans="1:10" x14ac:dyDescent="0.2">
      <c r="A165" s="23" t="s">
        <v>671</v>
      </c>
      <c r="B165" s="24">
        <v>45958</v>
      </c>
      <c r="C165" s="25" t="str">
        <f t="shared" si="15"/>
        <v>Oct</v>
      </c>
      <c r="D165" s="23" t="s">
        <v>510</v>
      </c>
      <c r="E165" s="26">
        <v>163</v>
      </c>
      <c r="F165" s="26">
        <v>63</v>
      </c>
      <c r="G165" s="26">
        <v>194</v>
      </c>
      <c r="H165" s="26">
        <v>133</v>
      </c>
      <c r="I165" s="7">
        <f t="shared" si="16"/>
        <v>357</v>
      </c>
      <c r="J165" s="7">
        <f t="shared" si="17"/>
        <v>161</v>
      </c>
    </row>
    <row r="166" spans="1:10" x14ac:dyDescent="0.2">
      <c r="A166" s="23" t="s">
        <v>672</v>
      </c>
      <c r="B166" s="24">
        <v>45962</v>
      </c>
      <c r="C166" s="25" t="str">
        <f t="shared" si="15"/>
        <v>Nov</v>
      </c>
      <c r="D166" s="23" t="s">
        <v>510</v>
      </c>
      <c r="E166" s="26">
        <v>570</v>
      </c>
      <c r="F166" s="26">
        <v>243</v>
      </c>
      <c r="G166" s="26">
        <v>486</v>
      </c>
      <c r="H166" s="26">
        <v>317</v>
      </c>
      <c r="I166" s="7">
        <f t="shared" si="16"/>
        <v>1056</v>
      </c>
      <c r="J166" s="7">
        <f t="shared" si="17"/>
        <v>496</v>
      </c>
    </row>
    <row r="167" spans="1:10" x14ac:dyDescent="0.2">
      <c r="A167" s="23" t="s">
        <v>673</v>
      </c>
      <c r="B167" s="24">
        <v>45962</v>
      </c>
      <c r="C167" s="25" t="str">
        <f t="shared" si="15"/>
        <v>Nov</v>
      </c>
      <c r="D167" s="23" t="s">
        <v>510</v>
      </c>
      <c r="E167" s="26">
        <v>722</v>
      </c>
      <c r="F167" s="26">
        <v>275</v>
      </c>
      <c r="G167" s="26">
        <v>359</v>
      </c>
      <c r="H167" s="26">
        <v>223</v>
      </c>
      <c r="I167" s="7">
        <f t="shared" si="16"/>
        <v>1081</v>
      </c>
      <c r="J167" s="7">
        <f t="shared" si="17"/>
        <v>583</v>
      </c>
    </row>
    <row r="168" spans="1:10" x14ac:dyDescent="0.2">
      <c r="A168" s="23" t="s">
        <v>674</v>
      </c>
      <c r="B168" s="24">
        <v>45964</v>
      </c>
      <c r="C168" s="25" t="str">
        <f t="shared" si="15"/>
        <v>Nov</v>
      </c>
      <c r="D168" s="23" t="s">
        <v>510</v>
      </c>
      <c r="E168" s="26">
        <v>449</v>
      </c>
      <c r="F168" s="26">
        <v>139</v>
      </c>
      <c r="G168" s="26">
        <v>588</v>
      </c>
      <c r="H168" s="26">
        <v>371</v>
      </c>
      <c r="I168" s="7">
        <f t="shared" si="16"/>
        <v>1037</v>
      </c>
      <c r="J168" s="7">
        <f t="shared" si="17"/>
        <v>527</v>
      </c>
    </row>
    <row r="169" spans="1:10" x14ac:dyDescent="0.2">
      <c r="A169" s="23" t="s">
        <v>675</v>
      </c>
      <c r="B169" s="24">
        <v>45965</v>
      </c>
      <c r="C169" s="25" t="str">
        <f t="shared" si="15"/>
        <v>Nov</v>
      </c>
      <c r="D169" s="23" t="s">
        <v>508</v>
      </c>
      <c r="E169" s="26">
        <v>436</v>
      </c>
      <c r="F169" s="26">
        <v>202</v>
      </c>
      <c r="G169" s="26">
        <v>108</v>
      </c>
      <c r="H169" s="26">
        <v>65</v>
      </c>
      <c r="I169" s="7">
        <f t="shared" si="16"/>
        <v>544</v>
      </c>
      <c r="J169" s="7">
        <f t="shared" si="17"/>
        <v>277</v>
      </c>
    </row>
    <row r="170" spans="1:10" x14ac:dyDescent="0.2">
      <c r="A170" s="23" t="s">
        <v>676</v>
      </c>
      <c r="B170" s="24">
        <v>45967</v>
      </c>
      <c r="C170" s="25" t="str">
        <f t="shared" si="15"/>
        <v>Nov</v>
      </c>
      <c r="D170" s="23" t="s">
        <v>508</v>
      </c>
      <c r="E170" s="26">
        <v>357</v>
      </c>
      <c r="F170" s="26">
        <v>133</v>
      </c>
      <c r="G170" s="26">
        <v>377</v>
      </c>
      <c r="H170" s="26">
        <v>261</v>
      </c>
      <c r="I170" s="7">
        <f t="shared" si="16"/>
        <v>734</v>
      </c>
      <c r="J170" s="7">
        <f t="shared" si="17"/>
        <v>340</v>
      </c>
    </row>
    <row r="171" spans="1:10" x14ac:dyDescent="0.2">
      <c r="A171" s="23" t="s">
        <v>677</v>
      </c>
      <c r="B171" s="24">
        <v>45968</v>
      </c>
      <c r="C171" s="25" t="str">
        <f t="shared" si="15"/>
        <v>Nov</v>
      </c>
      <c r="D171" s="23" t="s">
        <v>508</v>
      </c>
      <c r="E171" s="26">
        <v>310</v>
      </c>
      <c r="F171" s="26">
        <v>112</v>
      </c>
      <c r="G171" s="26">
        <v>301</v>
      </c>
      <c r="H171" s="26">
        <v>200</v>
      </c>
      <c r="I171" s="7">
        <f t="shared" si="16"/>
        <v>611</v>
      </c>
      <c r="J171" s="7">
        <f t="shared" si="17"/>
        <v>299</v>
      </c>
    </row>
    <row r="172" spans="1:10" x14ac:dyDescent="0.2">
      <c r="A172" s="23" t="s">
        <v>678</v>
      </c>
      <c r="B172" s="24">
        <v>45971</v>
      </c>
      <c r="C172" s="25" t="str">
        <f t="shared" si="15"/>
        <v>Nov</v>
      </c>
      <c r="D172" s="23" t="s">
        <v>508</v>
      </c>
      <c r="E172" s="26">
        <v>362</v>
      </c>
      <c r="F172" s="26">
        <v>129</v>
      </c>
      <c r="G172" s="26">
        <v>299</v>
      </c>
      <c r="H172" s="26">
        <v>182</v>
      </c>
      <c r="I172" s="7">
        <f t="shared" si="16"/>
        <v>661</v>
      </c>
      <c r="J172" s="7">
        <f t="shared" si="17"/>
        <v>350</v>
      </c>
    </row>
    <row r="173" spans="1:10" x14ac:dyDescent="0.2">
      <c r="A173" s="23" t="s">
        <v>679</v>
      </c>
      <c r="B173" s="24">
        <v>45974</v>
      </c>
      <c r="C173" s="25" t="str">
        <f t="shared" si="15"/>
        <v>Nov</v>
      </c>
      <c r="D173" s="23" t="s">
        <v>510</v>
      </c>
      <c r="E173" s="26">
        <v>154</v>
      </c>
      <c r="F173" s="26">
        <v>62</v>
      </c>
      <c r="G173" s="26">
        <v>211</v>
      </c>
      <c r="H173" s="26">
        <v>129</v>
      </c>
      <c r="I173" s="7">
        <f t="shared" si="16"/>
        <v>365</v>
      </c>
      <c r="J173" s="7">
        <f t="shared" si="17"/>
        <v>174</v>
      </c>
    </row>
    <row r="174" spans="1:10" x14ac:dyDescent="0.2">
      <c r="A174" s="23" t="s">
        <v>680</v>
      </c>
      <c r="B174" s="24">
        <v>45974</v>
      </c>
      <c r="C174" s="25" t="str">
        <f t="shared" si="15"/>
        <v>Nov</v>
      </c>
      <c r="D174" s="23" t="s">
        <v>508</v>
      </c>
      <c r="E174" s="26">
        <v>323</v>
      </c>
      <c r="F174" s="26">
        <v>128</v>
      </c>
      <c r="G174" s="26">
        <v>245</v>
      </c>
      <c r="H174" s="26">
        <v>171</v>
      </c>
      <c r="I174" s="7">
        <f t="shared" si="16"/>
        <v>568</v>
      </c>
      <c r="J174" s="7">
        <f t="shared" si="17"/>
        <v>269</v>
      </c>
    </row>
    <row r="175" spans="1:10" x14ac:dyDescent="0.2">
      <c r="A175" s="23" t="s">
        <v>681</v>
      </c>
      <c r="B175" s="24">
        <v>45977</v>
      </c>
      <c r="C175" s="25" t="str">
        <f t="shared" si="15"/>
        <v>Nov</v>
      </c>
      <c r="D175" s="23" t="s">
        <v>510</v>
      </c>
      <c r="E175" s="26">
        <v>401</v>
      </c>
      <c r="F175" s="26">
        <v>177</v>
      </c>
      <c r="G175" s="26">
        <v>520</v>
      </c>
      <c r="H175" s="26">
        <v>357</v>
      </c>
      <c r="I175" s="7">
        <f t="shared" si="16"/>
        <v>921</v>
      </c>
      <c r="J175" s="7">
        <f t="shared" si="17"/>
        <v>387</v>
      </c>
    </row>
    <row r="176" spans="1:10" x14ac:dyDescent="0.2">
      <c r="A176" s="23" t="s">
        <v>682</v>
      </c>
      <c r="B176" s="24">
        <v>45979</v>
      </c>
      <c r="C176" s="25" t="str">
        <f t="shared" si="15"/>
        <v>Nov</v>
      </c>
      <c r="D176" s="23" t="s">
        <v>510</v>
      </c>
      <c r="E176" s="26">
        <v>720</v>
      </c>
      <c r="F176" s="26">
        <v>248</v>
      </c>
      <c r="G176" s="26">
        <v>596</v>
      </c>
      <c r="H176" s="26">
        <v>336</v>
      </c>
      <c r="I176" s="7">
        <f t="shared" si="16"/>
        <v>1316</v>
      </c>
      <c r="J176" s="7">
        <f t="shared" si="17"/>
        <v>732</v>
      </c>
    </row>
    <row r="177" spans="1:10" x14ac:dyDescent="0.2">
      <c r="A177" s="23" t="s">
        <v>683</v>
      </c>
      <c r="B177" s="24">
        <v>45979</v>
      </c>
      <c r="C177" s="25" t="str">
        <f t="shared" si="15"/>
        <v>Nov</v>
      </c>
      <c r="D177" s="23" t="s">
        <v>510</v>
      </c>
      <c r="E177" s="26">
        <v>217</v>
      </c>
      <c r="F177" s="26">
        <v>92</v>
      </c>
      <c r="G177" s="26">
        <v>529</v>
      </c>
      <c r="H177" s="26">
        <v>312</v>
      </c>
      <c r="I177" s="7">
        <f t="shared" si="16"/>
        <v>746</v>
      </c>
      <c r="J177" s="7">
        <f t="shared" si="17"/>
        <v>342</v>
      </c>
    </row>
    <row r="178" spans="1:10" x14ac:dyDescent="0.2">
      <c r="A178" s="23" t="s">
        <v>684</v>
      </c>
      <c r="B178" s="24">
        <v>45983</v>
      </c>
      <c r="C178" s="25" t="str">
        <f t="shared" si="15"/>
        <v>Nov</v>
      </c>
      <c r="D178" s="23" t="s">
        <v>510</v>
      </c>
      <c r="E178" s="26">
        <v>617</v>
      </c>
      <c r="F178" s="26">
        <v>214</v>
      </c>
      <c r="G178" s="26">
        <v>476</v>
      </c>
      <c r="H178" s="26">
        <v>290</v>
      </c>
      <c r="I178" s="7">
        <f t="shared" si="16"/>
        <v>1093</v>
      </c>
      <c r="J178" s="7">
        <f t="shared" si="17"/>
        <v>589</v>
      </c>
    </row>
    <row r="179" spans="1:10" x14ac:dyDescent="0.2">
      <c r="A179" s="23" t="s">
        <v>685</v>
      </c>
      <c r="B179" s="24">
        <v>45985</v>
      </c>
      <c r="C179" s="25" t="str">
        <f t="shared" si="15"/>
        <v>Nov</v>
      </c>
      <c r="D179" s="23" t="s">
        <v>510</v>
      </c>
      <c r="E179" s="26">
        <v>252</v>
      </c>
      <c r="F179" s="26">
        <v>103</v>
      </c>
      <c r="G179" s="26">
        <v>410</v>
      </c>
      <c r="H179" s="26">
        <v>235</v>
      </c>
      <c r="I179" s="7">
        <f t="shared" si="16"/>
        <v>662</v>
      </c>
      <c r="J179" s="7">
        <f t="shared" si="17"/>
        <v>324</v>
      </c>
    </row>
    <row r="180" spans="1:10" x14ac:dyDescent="0.2">
      <c r="A180" s="23" t="s">
        <v>686</v>
      </c>
      <c r="B180" s="24">
        <v>45986</v>
      </c>
      <c r="C180" s="25" t="str">
        <f t="shared" si="15"/>
        <v>Nov</v>
      </c>
      <c r="D180" s="23" t="s">
        <v>508</v>
      </c>
      <c r="E180" s="26">
        <v>393</v>
      </c>
      <c r="F180" s="26">
        <v>149</v>
      </c>
      <c r="G180" s="26">
        <v>332</v>
      </c>
      <c r="H180" s="26">
        <v>219</v>
      </c>
      <c r="I180" s="7">
        <f t="shared" si="16"/>
        <v>725</v>
      </c>
      <c r="J180" s="7">
        <f t="shared" si="17"/>
        <v>357</v>
      </c>
    </row>
    <row r="181" spans="1:10" x14ac:dyDescent="0.2">
      <c r="A181" s="23" t="s">
        <v>687</v>
      </c>
      <c r="B181" s="24">
        <v>45987</v>
      </c>
      <c r="C181" s="25" t="str">
        <f t="shared" si="15"/>
        <v>Nov</v>
      </c>
      <c r="D181" s="23" t="s">
        <v>510</v>
      </c>
      <c r="E181" s="26">
        <v>102</v>
      </c>
      <c r="F181" s="26">
        <v>36</v>
      </c>
      <c r="G181" s="26">
        <v>53</v>
      </c>
      <c r="H181" s="26">
        <v>35</v>
      </c>
      <c r="I181" s="7">
        <f t="shared" si="16"/>
        <v>155</v>
      </c>
      <c r="J181" s="7">
        <f t="shared" si="17"/>
        <v>84</v>
      </c>
    </row>
    <row r="182" spans="1:10" x14ac:dyDescent="0.2">
      <c r="A182" s="23" t="s">
        <v>688</v>
      </c>
      <c r="B182" s="24">
        <v>45988</v>
      </c>
      <c r="C182" s="25" t="str">
        <f t="shared" si="15"/>
        <v>Nov</v>
      </c>
      <c r="D182" s="23" t="s">
        <v>510</v>
      </c>
      <c r="E182" s="26">
        <v>185</v>
      </c>
      <c r="F182" s="26">
        <v>59</v>
      </c>
      <c r="G182" s="26">
        <v>252</v>
      </c>
      <c r="H182" s="26">
        <v>145</v>
      </c>
      <c r="I182" s="7">
        <f t="shared" si="16"/>
        <v>437</v>
      </c>
      <c r="J182" s="7">
        <f t="shared" si="17"/>
        <v>233</v>
      </c>
    </row>
    <row r="183" spans="1:10" x14ac:dyDescent="0.2">
      <c r="A183" s="23" t="s">
        <v>689</v>
      </c>
      <c r="B183" s="24">
        <v>45993</v>
      </c>
      <c r="C183" s="25" t="str">
        <f t="shared" si="15"/>
        <v>Dec</v>
      </c>
      <c r="D183" s="23" t="s">
        <v>510</v>
      </c>
      <c r="E183" s="26">
        <v>665</v>
      </c>
      <c r="F183" s="26">
        <v>264</v>
      </c>
      <c r="G183" s="26">
        <v>379</v>
      </c>
      <c r="H183" s="26">
        <v>242</v>
      </c>
      <c r="I183" s="7">
        <f t="shared" si="16"/>
        <v>1044</v>
      </c>
      <c r="J183" s="7">
        <f t="shared" si="17"/>
        <v>538</v>
      </c>
    </row>
    <row r="184" spans="1:10" x14ac:dyDescent="0.2">
      <c r="A184" s="23" t="s">
        <v>690</v>
      </c>
      <c r="B184" s="24">
        <v>45994</v>
      </c>
      <c r="C184" s="25" t="str">
        <f t="shared" si="15"/>
        <v>Dec</v>
      </c>
      <c r="D184" s="23" t="s">
        <v>510</v>
      </c>
      <c r="E184" s="26">
        <v>256</v>
      </c>
      <c r="F184" s="26">
        <v>78</v>
      </c>
      <c r="G184" s="26">
        <v>498</v>
      </c>
      <c r="H184" s="26">
        <v>347</v>
      </c>
      <c r="I184" s="7">
        <f t="shared" si="16"/>
        <v>754</v>
      </c>
      <c r="J184" s="7">
        <f t="shared" si="17"/>
        <v>329</v>
      </c>
    </row>
    <row r="185" spans="1:10" x14ac:dyDescent="0.2">
      <c r="A185" s="23" t="s">
        <v>691</v>
      </c>
      <c r="B185" s="24">
        <v>45994</v>
      </c>
      <c r="C185" s="25" t="str">
        <f t="shared" si="15"/>
        <v>Dec</v>
      </c>
      <c r="D185" s="23" t="s">
        <v>510</v>
      </c>
      <c r="E185" s="26">
        <v>532</v>
      </c>
      <c r="F185" s="26">
        <v>211</v>
      </c>
      <c r="G185" s="26">
        <v>540</v>
      </c>
      <c r="H185" s="26">
        <v>314</v>
      </c>
      <c r="I185" s="7">
        <f t="shared" si="16"/>
        <v>1072</v>
      </c>
      <c r="J185" s="7">
        <f t="shared" si="17"/>
        <v>547</v>
      </c>
    </row>
    <row r="186" spans="1:10" x14ac:dyDescent="0.2">
      <c r="A186" s="23" t="s">
        <v>692</v>
      </c>
      <c r="B186" s="24">
        <v>45996</v>
      </c>
      <c r="C186" s="25" t="str">
        <f t="shared" si="15"/>
        <v>Dec</v>
      </c>
      <c r="D186" s="23" t="s">
        <v>508</v>
      </c>
      <c r="E186" s="26">
        <v>89</v>
      </c>
      <c r="F186" s="26">
        <v>38</v>
      </c>
      <c r="G186" s="26">
        <v>253</v>
      </c>
      <c r="H186" s="26">
        <v>172</v>
      </c>
      <c r="I186" s="7">
        <f t="shared" si="16"/>
        <v>342</v>
      </c>
      <c r="J186" s="7">
        <f t="shared" si="17"/>
        <v>132</v>
      </c>
    </row>
    <row r="187" spans="1:10" x14ac:dyDescent="0.2">
      <c r="A187" s="23" t="s">
        <v>693</v>
      </c>
      <c r="B187" s="24">
        <v>45998</v>
      </c>
      <c r="C187" s="25" t="str">
        <f t="shared" si="15"/>
        <v>Dec</v>
      </c>
      <c r="D187" s="23" t="s">
        <v>508</v>
      </c>
      <c r="E187" s="26">
        <v>310</v>
      </c>
      <c r="F187" s="26">
        <v>123</v>
      </c>
      <c r="G187" s="26">
        <v>218</v>
      </c>
      <c r="H187" s="26">
        <v>149</v>
      </c>
      <c r="I187" s="7">
        <f t="shared" si="16"/>
        <v>528</v>
      </c>
      <c r="J187" s="7">
        <f t="shared" si="17"/>
        <v>256</v>
      </c>
    </row>
    <row r="188" spans="1:10" x14ac:dyDescent="0.2">
      <c r="A188" s="23" t="s">
        <v>694</v>
      </c>
      <c r="B188" s="24">
        <v>45998</v>
      </c>
      <c r="C188" s="25" t="str">
        <f t="shared" si="15"/>
        <v>Dec</v>
      </c>
      <c r="D188" s="23" t="s">
        <v>510</v>
      </c>
      <c r="E188" s="26">
        <v>325</v>
      </c>
      <c r="F188" s="26">
        <v>124</v>
      </c>
      <c r="G188" s="26">
        <v>339</v>
      </c>
      <c r="H188" s="26">
        <v>205</v>
      </c>
      <c r="I188" s="7">
        <f t="shared" si="16"/>
        <v>664</v>
      </c>
      <c r="J188" s="7">
        <f t="shared" si="17"/>
        <v>335</v>
      </c>
    </row>
    <row r="189" spans="1:10" x14ac:dyDescent="0.2">
      <c r="A189" s="23" t="s">
        <v>695</v>
      </c>
      <c r="B189" s="24">
        <v>45999</v>
      </c>
      <c r="C189" s="25" t="str">
        <f t="shared" si="15"/>
        <v>Dec</v>
      </c>
      <c r="D189" s="23" t="s">
        <v>510</v>
      </c>
      <c r="E189" s="26">
        <v>611</v>
      </c>
      <c r="F189" s="26">
        <v>265</v>
      </c>
      <c r="G189" s="26">
        <v>130</v>
      </c>
      <c r="H189" s="26">
        <v>76</v>
      </c>
      <c r="I189" s="7">
        <f t="shared" si="16"/>
        <v>741</v>
      </c>
      <c r="J189" s="7">
        <f t="shared" si="17"/>
        <v>400</v>
      </c>
    </row>
    <row r="190" spans="1:10" x14ac:dyDescent="0.2">
      <c r="A190" s="23" t="s">
        <v>696</v>
      </c>
      <c r="B190" s="24">
        <v>45999</v>
      </c>
      <c r="C190" s="25" t="str">
        <f t="shared" si="15"/>
        <v>Dec</v>
      </c>
      <c r="D190" s="23" t="s">
        <v>510</v>
      </c>
      <c r="E190" s="26">
        <v>201</v>
      </c>
      <c r="F190" s="26">
        <v>74</v>
      </c>
      <c r="G190" s="26">
        <v>213</v>
      </c>
      <c r="H190" s="26">
        <v>130</v>
      </c>
      <c r="I190" s="7">
        <f t="shared" si="16"/>
        <v>414</v>
      </c>
      <c r="J190" s="7">
        <f t="shared" si="17"/>
        <v>210</v>
      </c>
    </row>
    <row r="191" spans="1:10" x14ac:dyDescent="0.2">
      <c r="A191" s="23" t="s">
        <v>697</v>
      </c>
      <c r="B191" s="24">
        <v>46000</v>
      </c>
      <c r="C191" s="25" t="str">
        <f t="shared" si="15"/>
        <v>Dec</v>
      </c>
      <c r="D191" s="23" t="s">
        <v>510</v>
      </c>
      <c r="E191" s="26">
        <v>667</v>
      </c>
      <c r="F191" s="26">
        <v>267</v>
      </c>
      <c r="G191" s="26">
        <v>438</v>
      </c>
      <c r="H191" s="26">
        <v>299</v>
      </c>
      <c r="I191" s="7">
        <f t="shared" si="16"/>
        <v>1105</v>
      </c>
      <c r="J191" s="7">
        <f t="shared" si="17"/>
        <v>539</v>
      </c>
    </row>
    <row r="192" spans="1:10" x14ac:dyDescent="0.2">
      <c r="A192" s="23" t="s">
        <v>698</v>
      </c>
      <c r="B192" s="24">
        <v>46003</v>
      </c>
      <c r="C192" s="25" t="str">
        <f t="shared" si="15"/>
        <v>Dec</v>
      </c>
      <c r="D192" s="23" t="s">
        <v>510</v>
      </c>
      <c r="E192" s="26">
        <v>188</v>
      </c>
      <c r="F192" s="26">
        <v>63</v>
      </c>
      <c r="G192" s="26">
        <v>653</v>
      </c>
      <c r="H192" s="26">
        <v>398</v>
      </c>
      <c r="I192" s="7">
        <f t="shared" si="16"/>
        <v>841</v>
      </c>
      <c r="J192" s="7">
        <f t="shared" si="17"/>
        <v>380</v>
      </c>
    </row>
    <row r="193" spans="1:10" x14ac:dyDescent="0.2">
      <c r="A193" s="23" t="s">
        <v>699</v>
      </c>
      <c r="B193" s="24">
        <v>46007</v>
      </c>
      <c r="C193" s="25" t="str">
        <f t="shared" si="15"/>
        <v>Dec</v>
      </c>
      <c r="D193" s="23" t="s">
        <v>508</v>
      </c>
      <c r="E193" s="26">
        <v>475</v>
      </c>
      <c r="F193" s="26">
        <v>175</v>
      </c>
      <c r="G193" s="26">
        <v>274</v>
      </c>
      <c r="H193" s="26">
        <v>165</v>
      </c>
      <c r="I193" s="7">
        <f t="shared" si="16"/>
        <v>749</v>
      </c>
      <c r="J193" s="7">
        <f t="shared" si="17"/>
        <v>409</v>
      </c>
    </row>
    <row r="194" spans="1:10" x14ac:dyDescent="0.2">
      <c r="A194" s="23" t="s">
        <v>700</v>
      </c>
      <c r="B194" s="24">
        <v>46007</v>
      </c>
      <c r="C194" s="25" t="str">
        <f t="shared" si="15"/>
        <v>Dec</v>
      </c>
      <c r="D194" s="23" t="s">
        <v>508</v>
      </c>
      <c r="E194" s="26">
        <v>223</v>
      </c>
      <c r="F194" s="26">
        <v>108</v>
      </c>
      <c r="G194" s="26">
        <v>229</v>
      </c>
      <c r="H194" s="26">
        <v>148</v>
      </c>
      <c r="I194" s="7">
        <f t="shared" si="16"/>
        <v>452</v>
      </c>
      <c r="J194" s="7">
        <f t="shared" si="17"/>
        <v>196</v>
      </c>
    </row>
    <row r="195" spans="1:10" x14ac:dyDescent="0.2">
      <c r="A195" s="23" t="s">
        <v>701</v>
      </c>
      <c r="B195" s="24">
        <v>46009</v>
      </c>
      <c r="C195" s="25" t="str">
        <f t="shared" si="15"/>
        <v>Dec</v>
      </c>
      <c r="D195" s="23" t="s">
        <v>510</v>
      </c>
      <c r="E195" s="26">
        <v>635</v>
      </c>
      <c r="F195" s="26">
        <v>284</v>
      </c>
      <c r="G195" s="26">
        <v>110</v>
      </c>
      <c r="H195" s="26">
        <v>69</v>
      </c>
      <c r="I195" s="7">
        <f t="shared" si="16"/>
        <v>745</v>
      </c>
      <c r="J195" s="7">
        <f t="shared" si="17"/>
        <v>392</v>
      </c>
    </row>
    <row r="196" spans="1:10" x14ac:dyDescent="0.2">
      <c r="A196" s="23" t="s">
        <v>702</v>
      </c>
      <c r="B196" s="24">
        <v>46010</v>
      </c>
      <c r="C196" s="25" t="str">
        <f t="shared" ref="C196:C203" si="18">TEXT(B196,"mmm")</f>
        <v>Dec</v>
      </c>
      <c r="D196" s="23" t="s">
        <v>510</v>
      </c>
      <c r="E196" s="26">
        <v>97</v>
      </c>
      <c r="F196" s="26">
        <v>34</v>
      </c>
      <c r="G196" s="26">
        <v>162</v>
      </c>
      <c r="H196" s="26">
        <v>112</v>
      </c>
      <c r="I196" s="7">
        <f t="shared" ref="I196:I203" si="19">E196+G196</f>
        <v>259</v>
      </c>
      <c r="J196" s="7">
        <f t="shared" ref="J196:J203" si="20">(E196-F196)+(G196-H196)</f>
        <v>113</v>
      </c>
    </row>
    <row r="197" spans="1:10" x14ac:dyDescent="0.2">
      <c r="A197" s="23" t="s">
        <v>703</v>
      </c>
      <c r="B197" s="24">
        <v>46010</v>
      </c>
      <c r="C197" s="25" t="str">
        <f t="shared" si="18"/>
        <v>Dec</v>
      </c>
      <c r="D197" s="23" t="s">
        <v>510</v>
      </c>
      <c r="E197" s="26">
        <v>692</v>
      </c>
      <c r="F197" s="26">
        <v>287</v>
      </c>
      <c r="G197" s="26">
        <v>378</v>
      </c>
      <c r="H197" s="26">
        <v>221</v>
      </c>
      <c r="I197" s="7">
        <f t="shared" si="19"/>
        <v>1070</v>
      </c>
      <c r="J197" s="7">
        <f t="shared" si="20"/>
        <v>562</v>
      </c>
    </row>
    <row r="198" spans="1:10" x14ac:dyDescent="0.2">
      <c r="A198" s="23" t="s">
        <v>704</v>
      </c>
      <c r="B198" s="24">
        <v>46012</v>
      </c>
      <c r="C198" s="25" t="str">
        <f t="shared" si="18"/>
        <v>Dec</v>
      </c>
      <c r="D198" s="23" t="s">
        <v>516</v>
      </c>
      <c r="E198" s="26">
        <v>221</v>
      </c>
      <c r="F198" s="26">
        <v>121</v>
      </c>
      <c r="G198" s="26">
        <v>117</v>
      </c>
      <c r="H198" s="26">
        <v>83</v>
      </c>
      <c r="I198" s="7">
        <f t="shared" si="19"/>
        <v>338</v>
      </c>
      <c r="J198" s="7">
        <f t="shared" si="20"/>
        <v>134</v>
      </c>
    </row>
    <row r="199" spans="1:10" x14ac:dyDescent="0.2">
      <c r="A199" s="23" t="s">
        <v>705</v>
      </c>
      <c r="B199" s="24">
        <v>46013</v>
      </c>
      <c r="C199" s="25" t="str">
        <f t="shared" si="18"/>
        <v>Dec</v>
      </c>
      <c r="D199" s="23" t="s">
        <v>516</v>
      </c>
      <c r="E199" s="26">
        <v>77</v>
      </c>
      <c r="F199" s="26">
        <v>38</v>
      </c>
      <c r="G199" s="26">
        <v>128</v>
      </c>
      <c r="H199" s="26">
        <v>92</v>
      </c>
      <c r="I199" s="7">
        <f t="shared" si="19"/>
        <v>205</v>
      </c>
      <c r="J199" s="7">
        <f t="shared" si="20"/>
        <v>75</v>
      </c>
    </row>
    <row r="200" spans="1:10" x14ac:dyDescent="0.2">
      <c r="A200" s="23" t="s">
        <v>706</v>
      </c>
      <c r="B200" s="24">
        <v>46015</v>
      </c>
      <c r="C200" s="25" t="str">
        <f t="shared" si="18"/>
        <v>Dec</v>
      </c>
      <c r="D200" s="23" t="s">
        <v>510</v>
      </c>
      <c r="E200" s="26">
        <v>221</v>
      </c>
      <c r="F200" s="26">
        <v>83</v>
      </c>
      <c r="G200" s="26">
        <v>624</v>
      </c>
      <c r="H200" s="26">
        <v>373</v>
      </c>
      <c r="I200" s="7">
        <f t="shared" si="19"/>
        <v>845</v>
      </c>
      <c r="J200" s="7">
        <f t="shared" si="20"/>
        <v>389</v>
      </c>
    </row>
    <row r="201" spans="1:10" x14ac:dyDescent="0.2">
      <c r="A201" s="23" t="s">
        <v>707</v>
      </c>
      <c r="B201" s="24">
        <v>46017</v>
      </c>
      <c r="C201" s="25" t="str">
        <f t="shared" si="18"/>
        <v>Dec</v>
      </c>
      <c r="D201" s="23" t="s">
        <v>510</v>
      </c>
      <c r="E201" s="26">
        <v>626</v>
      </c>
      <c r="F201" s="26">
        <v>210</v>
      </c>
      <c r="G201" s="26">
        <v>530</v>
      </c>
      <c r="H201" s="26">
        <v>363</v>
      </c>
      <c r="I201" s="7">
        <f t="shared" si="19"/>
        <v>1156</v>
      </c>
      <c r="J201" s="7">
        <f t="shared" si="20"/>
        <v>583</v>
      </c>
    </row>
    <row r="202" spans="1:10" x14ac:dyDescent="0.2">
      <c r="A202" s="23" t="s">
        <v>708</v>
      </c>
      <c r="B202" s="24">
        <v>46018</v>
      </c>
      <c r="C202" s="25" t="str">
        <f t="shared" si="18"/>
        <v>Dec</v>
      </c>
      <c r="D202" s="23" t="s">
        <v>510</v>
      </c>
      <c r="E202" s="26">
        <v>424</v>
      </c>
      <c r="F202" s="26">
        <v>159</v>
      </c>
      <c r="G202" s="26">
        <v>571</v>
      </c>
      <c r="H202" s="26">
        <v>359</v>
      </c>
      <c r="I202" s="7">
        <f t="shared" si="19"/>
        <v>995</v>
      </c>
      <c r="J202" s="7">
        <f t="shared" si="20"/>
        <v>477</v>
      </c>
    </row>
    <row r="203" spans="1:10" x14ac:dyDescent="0.2">
      <c r="A203" s="23" t="s">
        <v>709</v>
      </c>
      <c r="B203" s="24">
        <v>46019</v>
      </c>
      <c r="C203" s="25" t="str">
        <f t="shared" si="18"/>
        <v>Dec</v>
      </c>
      <c r="D203" s="23" t="s">
        <v>510</v>
      </c>
      <c r="E203" s="26">
        <v>838</v>
      </c>
      <c r="F203" s="26">
        <v>256</v>
      </c>
      <c r="G203" s="26">
        <v>499</v>
      </c>
      <c r="H203" s="26">
        <v>291</v>
      </c>
      <c r="I203" s="7">
        <f t="shared" si="19"/>
        <v>1337</v>
      </c>
      <c r="J203" s="7">
        <f t="shared" si="20"/>
        <v>790</v>
      </c>
    </row>
    <row r="206" spans="1:10" ht="16" x14ac:dyDescent="0.2">
      <c r="A206" s="28" t="s">
        <v>710</v>
      </c>
    </row>
    <row r="207" spans="1:10" x14ac:dyDescent="0.2">
      <c r="A207" s="1" t="s">
        <v>81</v>
      </c>
      <c r="B207" s="1" t="s">
        <v>711</v>
      </c>
      <c r="C207" s="1" t="s">
        <v>712</v>
      </c>
      <c r="D207" s="1" t="s">
        <v>713</v>
      </c>
      <c r="E207" s="1" t="s">
        <v>714</v>
      </c>
      <c r="F207" s="1" t="s">
        <v>715</v>
      </c>
      <c r="G207" s="1" t="s">
        <v>716</v>
      </c>
      <c r="H207" s="1" t="s">
        <v>506</v>
      </c>
      <c r="I207" s="1" t="s">
        <v>205</v>
      </c>
    </row>
    <row r="208" spans="1:10" x14ac:dyDescent="0.2">
      <c r="A208" s="2" t="s">
        <v>2</v>
      </c>
      <c r="B208" s="33">
        <f t="shared" ref="B208:B219" si="21">COUNTIFS($C$4:$C$203,A208,$D$4:$D$203,"Customer Pay")</f>
        <v>6</v>
      </c>
      <c r="C208" s="33">
        <f t="shared" ref="C208:C219" si="22">COUNTIFS($C$4:$C$203,A208,$D$4:$D$203,"Warranty")</f>
        <v>3</v>
      </c>
      <c r="D208" s="33">
        <f t="shared" ref="D208:D219" si="23">COUNTIFS($C$4:$C$203,A208,$D$4:$D$203,"Internal")</f>
        <v>1</v>
      </c>
      <c r="E208" s="34">
        <f t="shared" ref="E208:E219" si="24">SUMIFS($I$4:$I$203,$C$4:$C$203,A208,$D$4:$D$203,"Customer Pay")</f>
        <v>4562</v>
      </c>
      <c r="F208" s="34">
        <f t="shared" ref="F208:F219" si="25">SUMIFS($I$4:$I$203,$C$4:$C$203,A208,$D$4:$D$203,"Warranty")</f>
        <v>1417</v>
      </c>
      <c r="G208" s="34">
        <f t="shared" ref="G208:G219" si="26">SUMIFS($I$4:$I$203,$C$4:$C$203,A208,$D$4:$D$203,"Internal")</f>
        <v>265</v>
      </c>
      <c r="H208" s="34">
        <f t="shared" ref="H208:H219" si="27">SUMIFS($I$4:$I$203,$C$4:$C$203,A208)</f>
        <v>6244</v>
      </c>
      <c r="I208" s="34">
        <f t="shared" ref="I208:I219" si="28">SUMIFS($J$4:$J$203,$C$4:$C$203,A208)</f>
        <v>3090</v>
      </c>
    </row>
    <row r="209" spans="1:9" x14ac:dyDescent="0.2">
      <c r="A209" s="2" t="s">
        <v>3</v>
      </c>
      <c r="B209" s="33">
        <f t="shared" si="21"/>
        <v>10</v>
      </c>
      <c r="C209" s="33">
        <f t="shared" si="22"/>
        <v>7</v>
      </c>
      <c r="D209" s="33">
        <f t="shared" si="23"/>
        <v>4</v>
      </c>
      <c r="E209" s="34">
        <f t="shared" si="24"/>
        <v>9825</v>
      </c>
      <c r="F209" s="34">
        <f t="shared" si="25"/>
        <v>3703</v>
      </c>
      <c r="G209" s="34">
        <f t="shared" si="26"/>
        <v>1208</v>
      </c>
      <c r="H209" s="34">
        <f t="shared" si="27"/>
        <v>14736</v>
      </c>
      <c r="I209" s="34">
        <f t="shared" si="28"/>
        <v>7516</v>
      </c>
    </row>
    <row r="210" spans="1:9" x14ac:dyDescent="0.2">
      <c r="A210" s="2" t="s">
        <v>4</v>
      </c>
      <c r="B210" s="33">
        <f t="shared" si="21"/>
        <v>5</v>
      </c>
      <c r="C210" s="33">
        <f t="shared" si="22"/>
        <v>5</v>
      </c>
      <c r="D210" s="33">
        <f t="shared" si="23"/>
        <v>1</v>
      </c>
      <c r="E210" s="34">
        <f t="shared" si="24"/>
        <v>4053</v>
      </c>
      <c r="F210" s="34">
        <f t="shared" si="25"/>
        <v>2469</v>
      </c>
      <c r="G210" s="34">
        <f t="shared" si="26"/>
        <v>300</v>
      </c>
      <c r="H210" s="34">
        <f t="shared" si="27"/>
        <v>6822</v>
      </c>
      <c r="I210" s="34">
        <f t="shared" si="28"/>
        <v>3491</v>
      </c>
    </row>
    <row r="211" spans="1:9" x14ac:dyDescent="0.2">
      <c r="A211" s="2" t="s">
        <v>5</v>
      </c>
      <c r="B211" s="33">
        <f t="shared" si="21"/>
        <v>7</v>
      </c>
      <c r="C211" s="33">
        <f t="shared" si="22"/>
        <v>8</v>
      </c>
      <c r="D211" s="33">
        <f t="shared" si="23"/>
        <v>2</v>
      </c>
      <c r="E211" s="34">
        <f t="shared" si="24"/>
        <v>5385</v>
      </c>
      <c r="F211" s="34">
        <f t="shared" si="25"/>
        <v>4096</v>
      </c>
      <c r="G211" s="34">
        <f t="shared" si="26"/>
        <v>637</v>
      </c>
      <c r="H211" s="34">
        <f t="shared" si="27"/>
        <v>10118</v>
      </c>
      <c r="I211" s="34">
        <f t="shared" si="28"/>
        <v>4997</v>
      </c>
    </row>
    <row r="212" spans="1:9" x14ac:dyDescent="0.2">
      <c r="A212" s="2" t="s">
        <v>6</v>
      </c>
      <c r="B212" s="33">
        <f t="shared" si="21"/>
        <v>9</v>
      </c>
      <c r="C212" s="33">
        <f t="shared" si="22"/>
        <v>4</v>
      </c>
      <c r="D212" s="33">
        <f t="shared" si="23"/>
        <v>0</v>
      </c>
      <c r="E212" s="34">
        <f t="shared" si="24"/>
        <v>7864</v>
      </c>
      <c r="F212" s="34">
        <f t="shared" si="25"/>
        <v>1556</v>
      </c>
      <c r="G212" s="34">
        <f t="shared" si="26"/>
        <v>0</v>
      </c>
      <c r="H212" s="34">
        <f t="shared" si="27"/>
        <v>9420</v>
      </c>
      <c r="I212" s="34">
        <f t="shared" si="28"/>
        <v>5087</v>
      </c>
    </row>
    <row r="213" spans="1:9" x14ac:dyDescent="0.2">
      <c r="A213" s="2" t="s">
        <v>7</v>
      </c>
      <c r="B213" s="33">
        <f t="shared" si="21"/>
        <v>15</v>
      </c>
      <c r="C213" s="33">
        <f t="shared" si="22"/>
        <v>3</v>
      </c>
      <c r="D213" s="33">
        <f t="shared" si="23"/>
        <v>3</v>
      </c>
      <c r="E213" s="34">
        <f t="shared" si="24"/>
        <v>12850</v>
      </c>
      <c r="F213" s="34">
        <f t="shared" si="25"/>
        <v>1807</v>
      </c>
      <c r="G213" s="34">
        <f t="shared" si="26"/>
        <v>729</v>
      </c>
      <c r="H213" s="34">
        <f t="shared" si="27"/>
        <v>15386</v>
      </c>
      <c r="I213" s="34">
        <f t="shared" si="28"/>
        <v>7779</v>
      </c>
    </row>
    <row r="214" spans="1:9" x14ac:dyDescent="0.2">
      <c r="A214" s="2" t="s">
        <v>8</v>
      </c>
      <c r="B214" s="33">
        <f t="shared" si="21"/>
        <v>8</v>
      </c>
      <c r="C214" s="33">
        <f t="shared" si="22"/>
        <v>7</v>
      </c>
      <c r="D214" s="33">
        <f t="shared" si="23"/>
        <v>2</v>
      </c>
      <c r="E214" s="34">
        <f t="shared" si="24"/>
        <v>7617</v>
      </c>
      <c r="F214" s="34">
        <f t="shared" si="25"/>
        <v>4029</v>
      </c>
      <c r="G214" s="34">
        <f t="shared" si="26"/>
        <v>524</v>
      </c>
      <c r="H214" s="34">
        <f t="shared" si="27"/>
        <v>12170</v>
      </c>
      <c r="I214" s="34">
        <f t="shared" si="28"/>
        <v>5980</v>
      </c>
    </row>
    <row r="215" spans="1:9" x14ac:dyDescent="0.2">
      <c r="A215" s="2" t="s">
        <v>9</v>
      </c>
      <c r="B215" s="33">
        <f t="shared" si="21"/>
        <v>6</v>
      </c>
      <c r="C215" s="33">
        <f t="shared" si="22"/>
        <v>1</v>
      </c>
      <c r="D215" s="33">
        <f t="shared" si="23"/>
        <v>4</v>
      </c>
      <c r="E215" s="34">
        <f t="shared" si="24"/>
        <v>5611</v>
      </c>
      <c r="F215" s="34">
        <f t="shared" si="25"/>
        <v>250</v>
      </c>
      <c r="G215" s="34">
        <f t="shared" si="26"/>
        <v>1304</v>
      </c>
      <c r="H215" s="34">
        <f t="shared" si="27"/>
        <v>7165</v>
      </c>
      <c r="I215" s="34">
        <f t="shared" si="28"/>
        <v>3677</v>
      </c>
    </row>
    <row r="216" spans="1:9" x14ac:dyDescent="0.2">
      <c r="A216" s="2" t="s">
        <v>10</v>
      </c>
      <c r="B216" s="33">
        <f t="shared" si="21"/>
        <v>10</v>
      </c>
      <c r="C216" s="33">
        <f t="shared" si="22"/>
        <v>9</v>
      </c>
      <c r="D216" s="33">
        <f t="shared" si="23"/>
        <v>2</v>
      </c>
      <c r="E216" s="34">
        <f t="shared" si="24"/>
        <v>8765</v>
      </c>
      <c r="F216" s="34">
        <f t="shared" si="25"/>
        <v>4763</v>
      </c>
      <c r="G216" s="34">
        <f t="shared" si="26"/>
        <v>856</v>
      </c>
      <c r="H216" s="34">
        <f t="shared" si="27"/>
        <v>14384</v>
      </c>
      <c r="I216" s="34">
        <f t="shared" si="28"/>
        <v>7264</v>
      </c>
    </row>
    <row r="217" spans="1:9" x14ac:dyDescent="0.2">
      <c r="A217" s="2" t="s">
        <v>11</v>
      </c>
      <c r="B217" s="33">
        <f t="shared" si="21"/>
        <v>8</v>
      </c>
      <c r="C217" s="33">
        <f t="shared" si="22"/>
        <v>9</v>
      </c>
      <c r="D217" s="33">
        <f t="shared" si="23"/>
        <v>3</v>
      </c>
      <c r="E217" s="34">
        <f t="shared" si="24"/>
        <v>6019</v>
      </c>
      <c r="F217" s="34">
        <f t="shared" si="25"/>
        <v>4715</v>
      </c>
      <c r="G217" s="34">
        <f t="shared" si="26"/>
        <v>804</v>
      </c>
      <c r="H217" s="34">
        <f t="shared" si="27"/>
        <v>11538</v>
      </c>
      <c r="I217" s="34">
        <f t="shared" si="28"/>
        <v>5711</v>
      </c>
    </row>
    <row r="218" spans="1:9" x14ac:dyDescent="0.2">
      <c r="A218" s="2" t="s">
        <v>12</v>
      </c>
      <c r="B218" s="33">
        <f t="shared" si="21"/>
        <v>11</v>
      </c>
      <c r="C218" s="33">
        <f t="shared" si="22"/>
        <v>6</v>
      </c>
      <c r="D218" s="33">
        <f t="shared" si="23"/>
        <v>0</v>
      </c>
      <c r="E218" s="34">
        <f t="shared" si="24"/>
        <v>8869</v>
      </c>
      <c r="F218" s="34">
        <f t="shared" si="25"/>
        <v>3843</v>
      </c>
      <c r="G218" s="34">
        <f t="shared" si="26"/>
        <v>0</v>
      </c>
      <c r="H218" s="34">
        <f t="shared" si="27"/>
        <v>12712</v>
      </c>
      <c r="I218" s="34">
        <f t="shared" si="28"/>
        <v>6363</v>
      </c>
    </row>
    <row r="219" spans="1:9" x14ac:dyDescent="0.2">
      <c r="A219" s="2" t="s">
        <v>13</v>
      </c>
      <c r="B219" s="33">
        <f t="shared" si="21"/>
        <v>15</v>
      </c>
      <c r="C219" s="33">
        <f t="shared" si="22"/>
        <v>4</v>
      </c>
      <c r="D219" s="33">
        <f t="shared" si="23"/>
        <v>2</v>
      </c>
      <c r="E219" s="34">
        <f t="shared" si="24"/>
        <v>13042</v>
      </c>
      <c r="F219" s="34">
        <f t="shared" si="25"/>
        <v>2071</v>
      </c>
      <c r="G219" s="34">
        <f t="shared" si="26"/>
        <v>543</v>
      </c>
      <c r="H219" s="34">
        <f t="shared" si="27"/>
        <v>15656</v>
      </c>
      <c r="I219" s="34">
        <f t="shared" si="28"/>
        <v>7786</v>
      </c>
    </row>
    <row r="220" spans="1:9" x14ac:dyDescent="0.2">
      <c r="A220" s="2" t="s">
        <v>206</v>
      </c>
      <c r="B220" s="30">
        <f t="shared" ref="B220:I220" si="29">SUM(B208:B219)</f>
        <v>110</v>
      </c>
      <c r="C220" s="30">
        <f t="shared" si="29"/>
        <v>66</v>
      </c>
      <c r="D220" s="30">
        <f t="shared" si="29"/>
        <v>24</v>
      </c>
      <c r="E220" s="9">
        <f t="shared" si="29"/>
        <v>94462</v>
      </c>
      <c r="F220" s="9">
        <f t="shared" si="29"/>
        <v>34719</v>
      </c>
      <c r="G220" s="9">
        <f t="shared" si="29"/>
        <v>7170</v>
      </c>
      <c r="H220" s="9">
        <f t="shared" si="29"/>
        <v>136351</v>
      </c>
      <c r="I220" s="9">
        <f t="shared" si="29"/>
        <v>68741</v>
      </c>
    </row>
    <row r="223" spans="1:9" ht="16" x14ac:dyDescent="0.2">
      <c r="A223" s="16" t="s">
        <v>717</v>
      </c>
    </row>
    <row r="224" spans="1:9" x14ac:dyDescent="0.2">
      <c r="A224" s="2" t="s">
        <v>718</v>
      </c>
      <c r="B224" s="7">
        <f>SUMPRODUCT(SV_LaborRev-SV_LaborCost)</f>
        <v>48018</v>
      </c>
    </row>
    <row r="225" spans="1:2" x14ac:dyDescent="0.2">
      <c r="A225" s="2" t="s">
        <v>719</v>
      </c>
      <c r="B225" s="7">
        <f>SUMPRODUCT(SV_PartsRev-SV_PartsCost)</f>
        <v>20723</v>
      </c>
    </row>
    <row r="226" spans="1:2" x14ac:dyDescent="0.2">
      <c r="A226" s="2" t="s">
        <v>720</v>
      </c>
      <c r="B226" s="3">
        <f>'P&amp;L Summary'!$N$25</f>
        <v>310333.33366</v>
      </c>
    </row>
    <row r="227" spans="1:2" ht="16" x14ac:dyDescent="0.2">
      <c r="A227" s="16" t="s">
        <v>721</v>
      </c>
      <c r="B227" s="35">
        <f>IFERROR((B224+B225)/B226,0)</f>
        <v>0.22150698150689921</v>
      </c>
    </row>
    <row r="228" spans="1:2" x14ac:dyDescent="0.2">
      <c r="A228" s="2" t="s">
        <v>496</v>
      </c>
      <c r="B228" s="18">
        <f>ServiceAbsorptionTarget</f>
        <v>0.8</v>
      </c>
    </row>
    <row r="229" spans="1:2" x14ac:dyDescent="0.2">
      <c r="A229" s="2" t="s">
        <v>722</v>
      </c>
      <c r="B229" s="6">
        <f>B227-B228</f>
        <v>-0.57849301849310086</v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8"/>
  <sheetViews>
    <sheetView workbookViewId="0"/>
  </sheetViews>
  <sheetFormatPr baseColWidth="10" defaultColWidth="8.83203125" defaultRowHeight="15" x14ac:dyDescent="0.2"/>
  <cols>
    <col min="1" max="1" width="28" customWidth="1"/>
    <col min="2" max="3" width="16" customWidth="1"/>
    <col min="4" max="4" width="42" customWidth="1"/>
    <col min="5" max="5" width="20" customWidth="1"/>
  </cols>
  <sheetData>
    <row r="1" spans="1:5" ht="18" x14ac:dyDescent="0.2">
      <c r="A1" s="44" t="s">
        <v>723</v>
      </c>
      <c r="B1" s="45"/>
      <c r="C1" s="45"/>
      <c r="D1" s="45"/>
      <c r="E1" s="45"/>
    </row>
    <row r="3" spans="1:5" x14ac:dyDescent="0.2">
      <c r="A3" s="1" t="s">
        <v>724</v>
      </c>
      <c r="B3" s="1" t="s">
        <v>48</v>
      </c>
      <c r="C3" s="1" t="s">
        <v>725</v>
      </c>
      <c r="D3" s="1" t="s">
        <v>726</v>
      </c>
      <c r="E3" s="1" t="s">
        <v>727</v>
      </c>
    </row>
    <row r="4" spans="1:5" x14ac:dyDescent="0.2">
      <c r="A4" s="2" t="s">
        <v>728</v>
      </c>
      <c r="B4" s="36">
        <v>5.8000000000000003E-2</v>
      </c>
      <c r="C4" s="24">
        <v>44927</v>
      </c>
      <c r="D4" s="19" t="s">
        <v>729</v>
      </c>
      <c r="E4" s="25" t="str">
        <f t="shared" ref="E4:E16" ca="1" si="0">IF(TODAY()-C4&gt;$B$15,"STALE — review","Current")</f>
        <v>STALE — review</v>
      </c>
    </row>
    <row r="5" spans="1:5" x14ac:dyDescent="0.2">
      <c r="A5" s="2" t="s">
        <v>730</v>
      </c>
      <c r="B5" s="36">
        <v>2.1000000000000001E-2</v>
      </c>
      <c r="C5" s="24">
        <v>45658</v>
      </c>
      <c r="D5" s="19" t="s">
        <v>731</v>
      </c>
      <c r="E5" s="25" t="str">
        <f t="shared" ca="1" si="0"/>
        <v>STALE — review</v>
      </c>
    </row>
    <row r="6" spans="1:5" x14ac:dyDescent="0.2">
      <c r="A6" s="2" t="s">
        <v>732</v>
      </c>
      <c r="B6" s="36">
        <v>1.7999999999999999E-2</v>
      </c>
      <c r="C6" s="24">
        <v>45658</v>
      </c>
      <c r="D6" s="19" t="s">
        <v>731</v>
      </c>
      <c r="E6" s="25" t="str">
        <f t="shared" ca="1" si="0"/>
        <v>STALE — review</v>
      </c>
    </row>
    <row r="7" spans="1:5" x14ac:dyDescent="0.2">
      <c r="A7" s="2" t="s">
        <v>733</v>
      </c>
      <c r="B7" s="36">
        <v>2.5000000000000001E-2</v>
      </c>
      <c r="C7" s="24">
        <v>45658</v>
      </c>
      <c r="D7" s="19" t="s">
        <v>731</v>
      </c>
      <c r="E7" s="25" t="str">
        <f t="shared" ca="1" si="0"/>
        <v>STALE — review</v>
      </c>
    </row>
    <row r="8" spans="1:5" x14ac:dyDescent="0.2">
      <c r="A8" s="2" t="s">
        <v>734</v>
      </c>
      <c r="B8" s="5">
        <v>1600</v>
      </c>
      <c r="C8" s="24">
        <v>45444</v>
      </c>
      <c r="D8" s="19" t="s">
        <v>735</v>
      </c>
      <c r="E8" s="25" t="str">
        <f t="shared" ca="1" si="0"/>
        <v>STALE — review</v>
      </c>
    </row>
    <row r="9" spans="1:5" x14ac:dyDescent="0.2">
      <c r="A9" s="2" t="s">
        <v>736</v>
      </c>
      <c r="B9" s="36">
        <v>0.8</v>
      </c>
      <c r="C9" s="24">
        <v>44986</v>
      </c>
      <c r="D9" s="19" t="s">
        <v>737</v>
      </c>
      <c r="E9" s="25" t="str">
        <f t="shared" ca="1" si="0"/>
        <v>STALE — review</v>
      </c>
    </row>
    <row r="10" spans="1:5" x14ac:dyDescent="0.2">
      <c r="A10" s="2" t="s">
        <v>738</v>
      </c>
      <c r="B10" s="36">
        <v>0.21</v>
      </c>
      <c r="C10" s="24">
        <v>45292</v>
      </c>
      <c r="D10" s="19" t="s">
        <v>739</v>
      </c>
      <c r="E10" s="25" t="str">
        <f t="shared" ca="1" si="0"/>
        <v>STALE — review</v>
      </c>
    </row>
    <row r="11" spans="1:5" x14ac:dyDescent="0.2">
      <c r="A11" s="2" t="s">
        <v>740</v>
      </c>
      <c r="B11" s="36">
        <v>2.5000000000000001E-2</v>
      </c>
      <c r="C11" s="24">
        <v>45078</v>
      </c>
      <c r="D11" s="19" t="s">
        <v>741</v>
      </c>
      <c r="E11" s="25" t="str">
        <f t="shared" ca="1" si="0"/>
        <v>STALE — review</v>
      </c>
    </row>
    <row r="12" spans="1:5" x14ac:dyDescent="0.2">
      <c r="A12" s="2" t="s">
        <v>742</v>
      </c>
      <c r="B12" s="5">
        <v>2500</v>
      </c>
      <c r="C12" s="24">
        <v>45689</v>
      </c>
      <c r="D12" s="19" t="s">
        <v>743</v>
      </c>
      <c r="E12" s="25" t="str">
        <f t="shared" ca="1" si="0"/>
        <v>STALE — review</v>
      </c>
    </row>
    <row r="13" spans="1:5" x14ac:dyDescent="0.2">
      <c r="A13" s="2" t="s">
        <v>744</v>
      </c>
      <c r="B13" s="37" t="s">
        <v>745</v>
      </c>
      <c r="C13" s="24">
        <v>45292</v>
      </c>
      <c r="D13" s="19" t="s">
        <v>746</v>
      </c>
      <c r="E13" s="25" t="str">
        <f t="shared" ca="1" si="0"/>
        <v>STALE — review</v>
      </c>
    </row>
    <row r="14" spans="1:5" x14ac:dyDescent="0.2">
      <c r="A14" s="2" t="s">
        <v>747</v>
      </c>
      <c r="B14" s="36">
        <v>0.1</v>
      </c>
      <c r="C14" s="24">
        <v>45658</v>
      </c>
      <c r="D14" s="19" t="s">
        <v>748</v>
      </c>
      <c r="E14" s="25" t="str">
        <f t="shared" ca="1" si="0"/>
        <v>STALE — review</v>
      </c>
    </row>
    <row r="15" spans="1:5" x14ac:dyDescent="0.2">
      <c r="A15" s="2" t="s">
        <v>749</v>
      </c>
      <c r="B15" s="38">
        <v>365</v>
      </c>
      <c r="C15" s="24">
        <v>45658</v>
      </c>
      <c r="D15" s="19" t="s">
        <v>750</v>
      </c>
      <c r="E15" s="25" t="str">
        <f t="shared" ca="1" si="0"/>
        <v>STALE — review</v>
      </c>
    </row>
    <row r="16" spans="1:5" x14ac:dyDescent="0.2">
      <c r="A16" s="2" t="s">
        <v>751</v>
      </c>
      <c r="B16" s="36">
        <v>0.05</v>
      </c>
      <c r="C16" s="24">
        <v>45658</v>
      </c>
      <c r="D16" s="19" t="s">
        <v>752</v>
      </c>
      <c r="E16" s="25" t="str">
        <f t="shared" ca="1" si="0"/>
        <v>STALE — review</v>
      </c>
    </row>
    <row r="20" spans="1:5" x14ac:dyDescent="0.2">
      <c r="A20" s="39" t="s">
        <v>753</v>
      </c>
    </row>
    <row r="21" spans="1:5" x14ac:dyDescent="0.2">
      <c r="A21" s="11" t="s">
        <v>754</v>
      </c>
    </row>
    <row r="22" spans="1:5" x14ac:dyDescent="0.2">
      <c r="A22" s="11" t="s">
        <v>755</v>
      </c>
    </row>
    <row r="25" spans="1:5" ht="16" x14ac:dyDescent="0.2">
      <c r="A25" s="47" t="s">
        <v>756</v>
      </c>
      <c r="B25" s="45"/>
      <c r="C25" s="45"/>
      <c r="D25" s="45"/>
      <c r="E25" s="45"/>
    </row>
    <row r="26" spans="1:5" x14ac:dyDescent="0.2">
      <c r="A26" s="2" t="s">
        <v>757</v>
      </c>
      <c r="B26" s="36">
        <v>5.5E-2</v>
      </c>
      <c r="D26" s="11" t="s">
        <v>758</v>
      </c>
    </row>
    <row r="27" spans="1:5" x14ac:dyDescent="0.2">
      <c r="A27" s="2" t="s">
        <v>759</v>
      </c>
      <c r="B27" s="36">
        <v>8.5000000000000006E-3</v>
      </c>
      <c r="D27" s="11" t="s">
        <v>760</v>
      </c>
    </row>
    <row r="28" spans="1:5" x14ac:dyDescent="0.2">
      <c r="A28" s="2" t="s">
        <v>761</v>
      </c>
      <c r="B28" s="6">
        <f>B26+B27</f>
        <v>6.3500000000000001E-2</v>
      </c>
      <c r="D28" s="11">
        <f>PrimeRate + FloorPlanSpread</f>
        <v>6.3500000000000001E-2</v>
      </c>
    </row>
    <row r="29" spans="1:5" x14ac:dyDescent="0.2">
      <c r="A29" s="2" t="s">
        <v>762</v>
      </c>
      <c r="B29" s="20">
        <f>AVERAGE('Used Vehicle'!$F$4:$F$53)</f>
        <v>55.92</v>
      </c>
      <c r="D29" s="11" t="e">
        <f>AVERAGE of all used vehicle days-on-lot</f>
        <v>#NAME?</v>
      </c>
    </row>
    <row r="30" spans="1:5" x14ac:dyDescent="0.2">
      <c r="A30" s="2" t="s">
        <v>763</v>
      </c>
      <c r="B30" s="40">
        <f>IF(B29&gt;60,1.25,IF(B29&gt;45,1.15,1))</f>
        <v>1.1499999999999999</v>
      </c>
      <c r="D30" s="11" t="s">
        <v>764</v>
      </c>
    </row>
    <row r="31" spans="1:5" x14ac:dyDescent="0.2">
      <c r="A31" s="2" t="s">
        <v>765</v>
      </c>
      <c r="B31" s="41">
        <f>B28*B30</f>
        <v>7.3024999999999993E-2</v>
      </c>
      <c r="D31" s="42"/>
    </row>
    <row r="33" spans="1:5" ht="16" x14ac:dyDescent="0.2">
      <c r="A33" s="47" t="s">
        <v>766</v>
      </c>
      <c r="B33" s="45"/>
      <c r="C33" s="45"/>
      <c r="D33" s="45"/>
      <c r="E33" s="45"/>
    </row>
    <row r="34" spans="1:5" x14ac:dyDescent="0.2">
      <c r="A34" s="17" t="s">
        <v>767</v>
      </c>
      <c r="B34" s="17" t="s">
        <v>768</v>
      </c>
      <c r="C34" s="17" t="s">
        <v>769</v>
      </c>
      <c r="D34" s="17" t="s">
        <v>770</v>
      </c>
      <c r="E34" s="17" t="s">
        <v>771</v>
      </c>
    </row>
    <row r="35" spans="1:5" x14ac:dyDescent="0.2">
      <c r="A35" s="23" t="s">
        <v>772</v>
      </c>
      <c r="B35" s="26">
        <v>0</v>
      </c>
      <c r="C35" s="43">
        <v>0.02</v>
      </c>
      <c r="D35" s="43">
        <v>0</v>
      </c>
      <c r="E35" s="26">
        <v>0</v>
      </c>
    </row>
    <row r="36" spans="1:5" x14ac:dyDescent="0.2">
      <c r="A36" s="23" t="s">
        <v>773</v>
      </c>
      <c r="B36" s="26">
        <v>1200</v>
      </c>
      <c r="C36" s="43">
        <v>0.03</v>
      </c>
      <c r="D36" s="43">
        <v>0.01</v>
      </c>
      <c r="E36" s="26">
        <v>150</v>
      </c>
    </row>
    <row r="37" spans="1:5" x14ac:dyDescent="0.2">
      <c r="A37" s="23" t="s">
        <v>774</v>
      </c>
      <c r="B37" s="26">
        <v>1800</v>
      </c>
      <c r="C37" s="43">
        <v>0.04</v>
      </c>
      <c r="D37" s="43">
        <v>0.02</v>
      </c>
      <c r="E37" s="26">
        <v>300</v>
      </c>
    </row>
    <row r="38" spans="1:5" x14ac:dyDescent="0.2">
      <c r="A38" s="23" t="s">
        <v>775</v>
      </c>
      <c r="B38" s="26">
        <v>2400</v>
      </c>
      <c r="C38" s="43">
        <v>0.05</v>
      </c>
      <c r="D38" s="43">
        <v>3.5000000000000003E-2</v>
      </c>
      <c r="E38" s="26">
        <v>500</v>
      </c>
    </row>
  </sheetData>
  <mergeCells count="3">
    <mergeCell ref="A1:E1"/>
    <mergeCell ref="A25:E25"/>
    <mergeCell ref="A33:E33"/>
  </mergeCells>
  <conditionalFormatting sqref="E4:E16">
    <cfRule type="expression" dxfId="0" priority="1">
      <formula>ISNUMBER(SEARCH("STALE",E4))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53</vt:i4>
      </vt:variant>
    </vt:vector>
  </HeadingPairs>
  <TitlesOfParts>
    <vt:vector size="59" baseType="lpstr">
      <vt:lpstr>P&amp;L Summary</vt:lpstr>
      <vt:lpstr>New Vehicle</vt:lpstr>
      <vt:lpstr>Used Vehicle</vt:lpstr>
      <vt:lpstr>F&amp;I Detail</vt:lpstr>
      <vt:lpstr>Service &amp; Parts</vt:lpstr>
      <vt:lpstr>Assumptions</vt:lpstr>
      <vt:lpstr>AbsorptionBonusRate</vt:lpstr>
      <vt:lpstr>AbsorptionRate</vt:lpstr>
      <vt:lpstr>AgedInventoryMultiplier</vt:lpstr>
      <vt:lpstr>AvgDaysOnLot_UV</vt:lpstr>
      <vt:lpstr>CommissionTable</vt:lpstr>
      <vt:lpstr>Deal_Count_Range</vt:lpstr>
      <vt:lpstr>EffectiveFloorPlanRate</vt:lpstr>
      <vt:lpstr>FI_Cost_Range</vt:lpstr>
      <vt:lpstr>FI_Month_Range</vt:lpstr>
      <vt:lpstr>FI_Net_Range</vt:lpstr>
      <vt:lpstr>FI_PVR_Target</vt:lpstr>
      <vt:lpstr>FI_Revenue_Range</vt:lpstr>
      <vt:lpstr>FloorPlanRate</vt:lpstr>
      <vt:lpstr>FloorPlanSpread</vt:lpstr>
      <vt:lpstr>HoldbackRate</vt:lpstr>
      <vt:lpstr>IncentiveRate_Ford</vt:lpstr>
      <vt:lpstr>IncentiveRate_Honda</vt:lpstr>
      <vt:lpstr>IncentiveRate_Toyota</vt:lpstr>
      <vt:lpstr>NV_Bonus</vt:lpstr>
      <vt:lpstr>NV_Commission</vt:lpstr>
      <vt:lpstr>NV_FI</vt:lpstr>
      <vt:lpstr>NV_FrontGross</vt:lpstr>
      <vt:lpstr>NV_HPI</vt:lpstr>
      <vt:lpstr>NV_Month</vt:lpstr>
      <vt:lpstr>NV_Stock</vt:lpstr>
      <vt:lpstr>NV_Tier</vt:lpstr>
      <vt:lpstr>NV_TotalComp</vt:lpstr>
      <vt:lpstr>PartsGross</vt:lpstr>
      <vt:lpstr>PrimeRate</vt:lpstr>
      <vt:lpstr>PVR_Target</vt:lpstr>
      <vt:lpstr>ReconCostCap</vt:lpstr>
      <vt:lpstr>RiskAdjustedFloorPlanRate</vt:lpstr>
      <vt:lpstr>ServiceAbsorptionTarget</vt:lpstr>
      <vt:lpstr>SV_LaborCost</vt:lpstr>
      <vt:lpstr>SV_LaborRev</vt:lpstr>
      <vt:lpstr>SV_Month</vt:lpstr>
      <vt:lpstr>SV_PartsCost</vt:lpstr>
      <vt:lpstr>SV_PartsRev</vt:lpstr>
      <vt:lpstr>SV_TotGross</vt:lpstr>
      <vt:lpstr>SV_TotRev</vt:lpstr>
      <vt:lpstr>SV_Type</vt:lpstr>
      <vt:lpstr>SvcGross</vt:lpstr>
      <vt:lpstr>TaxRate</vt:lpstr>
      <vt:lpstr>TierMinPVR_Gold</vt:lpstr>
      <vt:lpstr>TierMinPVR_Platinum</vt:lpstr>
      <vt:lpstr>TierMinPVR_Silver</vt:lpstr>
      <vt:lpstr>UV_AdjGross</vt:lpstr>
      <vt:lpstr>UV_FI</vt:lpstr>
      <vt:lpstr>UV_Month</vt:lpstr>
      <vt:lpstr>UV_SalePrice</vt:lpstr>
      <vt:lpstr>UV_Stock</vt:lpstr>
      <vt:lpstr>UV_TotGross</vt:lpstr>
      <vt:lpstr>VarianceThreshold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Jeevan Shankar Balagam</cp:lastModifiedBy>
  <dcterms:created xsi:type="dcterms:W3CDTF">2026-04-15T17:26:07Z</dcterms:created>
  <dcterms:modified xsi:type="dcterms:W3CDTF">2026-04-17T20:56:23Z</dcterms:modified>
</cp:coreProperties>
</file>